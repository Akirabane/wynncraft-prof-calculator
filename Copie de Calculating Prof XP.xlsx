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2aesvIIyFXtUbOC+oHNGccgBmmA=="/>
    </ext>
  </extLst>
</workbook>
</file>

<file path=xl/sharedStrings.xml><?xml version="1.0" encoding="utf-8"?>
<sst xmlns="http://schemas.openxmlformats.org/spreadsheetml/2006/main" count="37" uniqueCount="14">
  <si>
    <t>level</t>
  </si>
  <si>
    <t>xp required per lv</t>
  </si>
  <si>
    <t>cumulative xp</t>
  </si>
  <si>
    <t>pododang</t>
  </si>
  <si>
    <t>crokee</t>
  </si>
  <si>
    <t>ha15224</t>
  </si>
  <si>
    <t>player</t>
  </si>
  <si>
    <t>overflow</t>
  </si>
  <si>
    <t>xp overflow</t>
  </si>
  <si>
    <t># of lvs</t>
  </si>
  <si>
    <t>total xp</t>
  </si>
  <si>
    <t>past 132 xp</t>
  </si>
  <si>
    <t># professions</t>
  </si>
  <si>
    <t>max 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</si>
</sst>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sz val="11.0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</border>
    <border>
      <left style="medium">
        <color rgb="FFDDDDDD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2" fillId="0" fontId="1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0" fillId="0" fontId="2" numFmtId="3" xfId="0" applyFont="1" applyNumberFormat="1"/>
    <xf borderId="2" fillId="0" fontId="1" numFmtId="3" xfId="0" applyAlignment="1" applyBorder="1" applyFont="1" applyNumberFormat="1">
      <alignment horizontal="left" shrinkToFit="0" vertical="top" wrapText="1"/>
    </xf>
    <xf borderId="0" fillId="0" fontId="2" numFmtId="11" xfId="0" applyFont="1" applyNumberFormat="1"/>
    <xf borderId="2" fillId="0" fontId="3" numFmtId="3" xfId="0" applyAlignment="1" applyBorder="1" applyFont="1" applyNumberFormat="1">
      <alignment horizontal="left" readingOrder="0" shrinkToFit="0" vertical="top" wrapText="1"/>
    </xf>
    <xf borderId="0" fillId="0" fontId="1" numFmtId="0" xfId="0" applyAlignment="1" applyFont="1">
      <alignment shrinkToFit="0" wrapText="1"/>
    </xf>
    <xf borderId="2" fillId="0" fontId="1" numFmtId="3" xfId="0" applyAlignment="1" applyBorder="1" applyFont="1" applyNumberFormat="1">
      <alignment horizontal="left" readingOrder="0" shrinkToFit="0" vertical="top" wrapText="1"/>
    </xf>
    <xf borderId="0" fillId="0" fontId="2" numFmtId="3" xfId="0" applyAlignment="1" applyFont="1" applyNumberFormat="1">
      <alignment readingOrder="0"/>
    </xf>
    <xf borderId="0" fillId="2" fontId="4" numFmtId="0" xfId="0" applyFill="1" applyFont="1"/>
    <xf borderId="0" fillId="0" fontId="2" numFmtId="1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3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1.0"/>
    <col customWidth="1" min="2" max="3" width="16.0"/>
    <col customWidth="1" min="4" max="19" width="12.63"/>
    <col customWidth="1" min="20" max="22" width="7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H1" s="3" t="s">
        <v>4</v>
      </c>
      <c r="L1" s="3" t="s">
        <v>5</v>
      </c>
      <c r="P1" s="3" t="s">
        <v>6</v>
      </c>
    </row>
    <row r="2" ht="14.25" customHeight="1">
      <c r="A2" s="1">
        <v>1.0</v>
      </c>
      <c r="B2" s="1"/>
      <c r="C2" s="1"/>
      <c r="D2" s="4" t="s">
        <v>7</v>
      </c>
      <c r="E2" s="5" t="s">
        <v>8</v>
      </c>
      <c r="F2" s="6" t="s">
        <v>9</v>
      </c>
      <c r="G2" s="6" t="s">
        <v>10</v>
      </c>
      <c r="H2" s="4" t="s">
        <v>7</v>
      </c>
      <c r="I2" s="5" t="s">
        <v>8</v>
      </c>
      <c r="J2" s="6" t="s">
        <v>9</v>
      </c>
      <c r="K2" s="6" t="s">
        <v>10</v>
      </c>
      <c r="L2" s="4" t="s">
        <v>7</v>
      </c>
      <c r="M2" s="5" t="s">
        <v>8</v>
      </c>
      <c r="N2" s="6" t="s">
        <v>9</v>
      </c>
      <c r="O2" s="6" t="s">
        <v>10</v>
      </c>
      <c r="P2" s="4" t="s">
        <v>7</v>
      </c>
      <c r="Q2" s="5" t="s">
        <v>8</v>
      </c>
      <c r="R2" s="6" t="s">
        <v>9</v>
      </c>
      <c r="S2" s="6" t="s">
        <v>10</v>
      </c>
    </row>
    <row r="3" ht="14.25" customHeight="1">
      <c r="A3" s="1">
        <v>2.0</v>
      </c>
      <c r="B3" s="7">
        <v>30.0</v>
      </c>
      <c r="C3" s="7">
        <f t="shared" ref="C3:C133" si="1">SUM(C2+B3)</f>
        <v>30</v>
      </c>
      <c r="D3" s="8"/>
      <c r="E3" s="6">
        <f t="shared" ref="E3:E132" si="2">D3*$B4</f>
        <v>0</v>
      </c>
      <c r="G3" s="9">
        <f t="shared" ref="G3:G133" si="3">F3*$C3+E3</f>
        <v>0</v>
      </c>
      <c r="H3" s="8"/>
      <c r="I3" s="6">
        <f t="shared" ref="I3:I132" si="4">H3*$B4</f>
        <v>0</v>
      </c>
      <c r="K3" s="9">
        <f t="shared" ref="K3:K133" si="5">J3*$C3+I3</f>
        <v>0</v>
      </c>
      <c r="L3" s="8"/>
      <c r="M3" s="6">
        <f t="shared" ref="M3:M132" si="6">L3*$B4</f>
        <v>0</v>
      </c>
      <c r="O3" s="9">
        <f t="shared" ref="O3:O133" si="7">N3*$C3+M3</f>
        <v>0</v>
      </c>
      <c r="P3" s="8"/>
      <c r="Q3" s="6">
        <f t="shared" ref="Q3:Q132" si="8">P3*$B4</f>
        <v>0</v>
      </c>
      <c r="S3" s="9">
        <f t="shared" ref="S3:S133" si="9">R3*$C3+Q3</f>
        <v>0</v>
      </c>
    </row>
    <row r="4" ht="14.25" customHeight="1">
      <c r="A4" s="1">
        <v>3.0</v>
      </c>
      <c r="B4" s="7">
        <v>38.0</v>
      </c>
      <c r="C4" s="7">
        <f t="shared" si="1"/>
        <v>68</v>
      </c>
      <c r="D4" s="8"/>
      <c r="E4" s="6">
        <f t="shared" si="2"/>
        <v>0</v>
      </c>
      <c r="G4" s="9">
        <f t="shared" si="3"/>
        <v>0</v>
      </c>
      <c r="H4" s="8"/>
      <c r="I4" s="6">
        <f t="shared" si="4"/>
        <v>0</v>
      </c>
      <c r="K4" s="9">
        <f t="shared" si="5"/>
        <v>0</v>
      </c>
      <c r="L4" s="8"/>
      <c r="M4" s="6">
        <f t="shared" si="6"/>
        <v>0</v>
      </c>
      <c r="O4" s="9">
        <f t="shared" si="7"/>
        <v>0</v>
      </c>
      <c r="P4" s="8"/>
      <c r="Q4" s="6">
        <f t="shared" si="8"/>
        <v>0</v>
      </c>
      <c r="S4" s="9">
        <f t="shared" si="9"/>
        <v>0</v>
      </c>
    </row>
    <row r="5" ht="14.25" customHeight="1">
      <c r="A5" s="1">
        <v>4.0</v>
      </c>
      <c r="B5" s="7">
        <v>48.0</v>
      </c>
      <c r="C5" s="7">
        <f t="shared" si="1"/>
        <v>116</v>
      </c>
      <c r="D5" s="8"/>
      <c r="E5" s="6">
        <f t="shared" si="2"/>
        <v>0</v>
      </c>
      <c r="G5" s="9">
        <f t="shared" si="3"/>
        <v>0</v>
      </c>
      <c r="H5" s="8"/>
      <c r="I5" s="6">
        <f t="shared" si="4"/>
        <v>0</v>
      </c>
      <c r="K5" s="9">
        <f t="shared" si="5"/>
        <v>0</v>
      </c>
      <c r="L5" s="8"/>
      <c r="M5" s="6">
        <f t="shared" si="6"/>
        <v>0</v>
      </c>
      <c r="O5" s="9">
        <f t="shared" si="7"/>
        <v>0</v>
      </c>
      <c r="P5" s="8"/>
      <c r="Q5" s="6">
        <f t="shared" si="8"/>
        <v>0</v>
      </c>
      <c r="S5" s="9">
        <f t="shared" si="9"/>
        <v>0</v>
      </c>
    </row>
    <row r="6" ht="14.25" customHeight="1">
      <c r="A6" s="1">
        <v>5.0</v>
      </c>
      <c r="B6" s="7">
        <v>58.0</v>
      </c>
      <c r="C6" s="7">
        <f t="shared" si="1"/>
        <v>174</v>
      </c>
      <c r="D6" s="8"/>
      <c r="E6" s="6">
        <f t="shared" si="2"/>
        <v>0</v>
      </c>
      <c r="G6" s="9">
        <f t="shared" si="3"/>
        <v>0</v>
      </c>
      <c r="H6" s="8"/>
      <c r="I6" s="6">
        <f t="shared" si="4"/>
        <v>0</v>
      </c>
      <c r="K6" s="9">
        <f t="shared" si="5"/>
        <v>0</v>
      </c>
      <c r="L6" s="8"/>
      <c r="M6" s="6">
        <f t="shared" si="6"/>
        <v>0</v>
      </c>
      <c r="O6" s="9">
        <f t="shared" si="7"/>
        <v>0</v>
      </c>
      <c r="P6" s="8"/>
      <c r="Q6" s="6">
        <f t="shared" si="8"/>
        <v>0</v>
      </c>
      <c r="S6" s="9">
        <f t="shared" si="9"/>
        <v>0</v>
      </c>
    </row>
    <row r="7" ht="14.25" customHeight="1">
      <c r="A7" s="1">
        <f t="shared" ref="A7:A132" si="10">A6+1</f>
        <v>6</v>
      </c>
      <c r="B7" s="7">
        <v>69.0</v>
      </c>
      <c r="C7" s="7">
        <f t="shared" si="1"/>
        <v>243</v>
      </c>
      <c r="D7" s="8"/>
      <c r="E7" s="6">
        <f t="shared" si="2"/>
        <v>0</v>
      </c>
      <c r="G7" s="9">
        <f t="shared" si="3"/>
        <v>0</v>
      </c>
      <c r="H7" s="8"/>
      <c r="I7" s="6">
        <f t="shared" si="4"/>
        <v>0</v>
      </c>
      <c r="K7" s="9">
        <f t="shared" si="5"/>
        <v>0</v>
      </c>
      <c r="L7" s="8"/>
      <c r="M7" s="6">
        <f t="shared" si="6"/>
        <v>0</v>
      </c>
      <c r="O7" s="9">
        <f t="shared" si="7"/>
        <v>0</v>
      </c>
      <c r="P7" s="8"/>
      <c r="Q7" s="6">
        <f t="shared" si="8"/>
        <v>0</v>
      </c>
      <c r="S7" s="9">
        <f t="shared" si="9"/>
        <v>0</v>
      </c>
    </row>
    <row r="8" ht="14.25" customHeight="1">
      <c r="A8" s="1">
        <f t="shared" si="10"/>
        <v>7</v>
      </c>
      <c r="B8" s="7">
        <v>82.0</v>
      </c>
      <c r="C8" s="7">
        <f t="shared" si="1"/>
        <v>325</v>
      </c>
      <c r="D8" s="8"/>
      <c r="E8" s="6">
        <f t="shared" si="2"/>
        <v>0</v>
      </c>
      <c r="G8" s="9">
        <f t="shared" si="3"/>
        <v>0</v>
      </c>
      <c r="H8" s="8"/>
      <c r="I8" s="6">
        <f t="shared" si="4"/>
        <v>0</v>
      </c>
      <c r="K8" s="9">
        <f t="shared" si="5"/>
        <v>0</v>
      </c>
      <c r="L8" s="8"/>
      <c r="M8" s="6">
        <f t="shared" si="6"/>
        <v>0</v>
      </c>
      <c r="O8" s="9">
        <f t="shared" si="7"/>
        <v>0</v>
      </c>
      <c r="P8" s="8"/>
      <c r="Q8" s="6">
        <f t="shared" si="8"/>
        <v>0</v>
      </c>
      <c r="S8" s="9">
        <f t="shared" si="9"/>
        <v>0</v>
      </c>
    </row>
    <row r="9" ht="14.25" customHeight="1">
      <c r="A9" s="1">
        <f t="shared" si="10"/>
        <v>8</v>
      </c>
      <c r="B9" s="7">
        <v>96.0</v>
      </c>
      <c r="C9" s="7">
        <f t="shared" si="1"/>
        <v>421</v>
      </c>
      <c r="D9" s="8"/>
      <c r="E9" s="6">
        <f t="shared" si="2"/>
        <v>0</v>
      </c>
      <c r="G9" s="9">
        <f t="shared" si="3"/>
        <v>0</v>
      </c>
      <c r="H9" s="8"/>
      <c r="I9" s="6">
        <f t="shared" si="4"/>
        <v>0</v>
      </c>
      <c r="K9" s="9">
        <f t="shared" si="5"/>
        <v>0</v>
      </c>
      <c r="L9" s="8"/>
      <c r="M9" s="6">
        <f t="shared" si="6"/>
        <v>0</v>
      </c>
      <c r="O9" s="9">
        <f t="shared" si="7"/>
        <v>0</v>
      </c>
      <c r="P9" s="8"/>
      <c r="Q9" s="6">
        <f t="shared" si="8"/>
        <v>0</v>
      </c>
      <c r="S9" s="9">
        <f t="shared" si="9"/>
        <v>0</v>
      </c>
    </row>
    <row r="10" ht="14.25" customHeight="1">
      <c r="A10" s="1">
        <f t="shared" si="10"/>
        <v>9</v>
      </c>
      <c r="B10" s="7">
        <v>111.0</v>
      </c>
      <c r="C10" s="7">
        <f t="shared" si="1"/>
        <v>532</v>
      </c>
      <c r="D10" s="8"/>
      <c r="E10" s="6">
        <f t="shared" si="2"/>
        <v>0</v>
      </c>
      <c r="G10" s="9">
        <f t="shared" si="3"/>
        <v>0</v>
      </c>
      <c r="H10" s="8"/>
      <c r="I10" s="6">
        <f t="shared" si="4"/>
        <v>0</v>
      </c>
      <c r="K10" s="9">
        <f t="shared" si="5"/>
        <v>0</v>
      </c>
      <c r="L10" s="8"/>
      <c r="M10" s="6">
        <f t="shared" si="6"/>
        <v>0</v>
      </c>
      <c r="O10" s="9">
        <f t="shared" si="7"/>
        <v>0</v>
      </c>
      <c r="P10" s="8"/>
      <c r="Q10" s="6">
        <f t="shared" si="8"/>
        <v>0</v>
      </c>
      <c r="S10" s="9">
        <f t="shared" si="9"/>
        <v>0</v>
      </c>
    </row>
    <row r="11" ht="14.25" customHeight="1">
      <c r="A11" s="1">
        <f t="shared" si="10"/>
        <v>10</v>
      </c>
      <c r="B11" s="7">
        <v>128.0</v>
      </c>
      <c r="C11" s="7">
        <f t="shared" si="1"/>
        <v>660</v>
      </c>
      <c r="D11" s="8"/>
      <c r="E11" s="6">
        <f t="shared" si="2"/>
        <v>0</v>
      </c>
      <c r="G11" s="9">
        <f t="shared" si="3"/>
        <v>0</v>
      </c>
      <c r="H11" s="8"/>
      <c r="I11" s="6">
        <f t="shared" si="4"/>
        <v>0</v>
      </c>
      <c r="K11" s="9">
        <f t="shared" si="5"/>
        <v>0</v>
      </c>
      <c r="L11" s="8"/>
      <c r="M11" s="6">
        <f t="shared" si="6"/>
        <v>0</v>
      </c>
      <c r="O11" s="9">
        <f t="shared" si="7"/>
        <v>0</v>
      </c>
      <c r="P11" s="8"/>
      <c r="Q11" s="6">
        <f t="shared" si="8"/>
        <v>0</v>
      </c>
      <c r="S11" s="9">
        <f t="shared" si="9"/>
        <v>0</v>
      </c>
    </row>
    <row r="12" ht="14.25" customHeight="1">
      <c r="A12" s="1">
        <f t="shared" si="10"/>
        <v>11</v>
      </c>
      <c r="B12" s="7">
        <v>148.0</v>
      </c>
      <c r="C12" s="7">
        <f t="shared" si="1"/>
        <v>808</v>
      </c>
      <c r="D12" s="8"/>
      <c r="E12" s="6">
        <f t="shared" si="2"/>
        <v>0</v>
      </c>
      <c r="G12" s="9">
        <f t="shared" si="3"/>
        <v>0</v>
      </c>
      <c r="H12" s="8"/>
      <c r="I12" s="6">
        <f t="shared" si="4"/>
        <v>0</v>
      </c>
      <c r="K12" s="9">
        <f t="shared" si="5"/>
        <v>0</v>
      </c>
      <c r="L12" s="8"/>
      <c r="M12" s="6">
        <f t="shared" si="6"/>
        <v>0</v>
      </c>
      <c r="O12" s="9">
        <f t="shared" si="7"/>
        <v>0</v>
      </c>
      <c r="P12" s="8"/>
      <c r="Q12" s="6">
        <f t="shared" si="8"/>
        <v>0</v>
      </c>
      <c r="S12" s="9">
        <f t="shared" si="9"/>
        <v>0</v>
      </c>
    </row>
    <row r="13" ht="14.25" customHeight="1">
      <c r="A13" s="1">
        <f t="shared" si="10"/>
        <v>12</v>
      </c>
      <c r="B13" s="7">
        <v>169.0</v>
      </c>
      <c r="C13" s="7">
        <f t="shared" si="1"/>
        <v>977</v>
      </c>
      <c r="D13" s="8"/>
      <c r="E13" s="6">
        <f t="shared" si="2"/>
        <v>0</v>
      </c>
      <c r="G13" s="9">
        <f t="shared" si="3"/>
        <v>0</v>
      </c>
      <c r="H13" s="8"/>
      <c r="I13" s="6">
        <f t="shared" si="4"/>
        <v>0</v>
      </c>
      <c r="K13" s="9">
        <f t="shared" si="5"/>
        <v>0</v>
      </c>
      <c r="L13" s="8"/>
      <c r="M13" s="6">
        <f t="shared" si="6"/>
        <v>0</v>
      </c>
      <c r="O13" s="9">
        <f t="shared" si="7"/>
        <v>0</v>
      </c>
      <c r="P13" s="8"/>
      <c r="Q13" s="6">
        <f t="shared" si="8"/>
        <v>0</v>
      </c>
      <c r="S13" s="9">
        <f t="shared" si="9"/>
        <v>0</v>
      </c>
    </row>
    <row r="14" ht="14.25" customHeight="1">
      <c r="A14" s="1">
        <f t="shared" si="10"/>
        <v>13</v>
      </c>
      <c r="B14" s="7">
        <v>192.0</v>
      </c>
      <c r="C14" s="7">
        <f t="shared" si="1"/>
        <v>1169</v>
      </c>
      <c r="D14" s="8"/>
      <c r="E14" s="6">
        <f t="shared" si="2"/>
        <v>0</v>
      </c>
      <c r="G14" s="9">
        <f t="shared" si="3"/>
        <v>0</v>
      </c>
      <c r="H14" s="8"/>
      <c r="I14" s="6">
        <f t="shared" si="4"/>
        <v>0</v>
      </c>
      <c r="K14" s="9">
        <f t="shared" si="5"/>
        <v>0</v>
      </c>
      <c r="L14" s="8"/>
      <c r="M14" s="6">
        <f t="shared" si="6"/>
        <v>0</v>
      </c>
      <c r="O14" s="9">
        <f t="shared" si="7"/>
        <v>0</v>
      </c>
      <c r="P14" s="8"/>
      <c r="Q14" s="6">
        <f t="shared" si="8"/>
        <v>0</v>
      </c>
      <c r="S14" s="9">
        <f t="shared" si="9"/>
        <v>0</v>
      </c>
    </row>
    <row r="15" ht="14.25" customHeight="1">
      <c r="A15" s="1">
        <f t="shared" si="10"/>
        <v>14</v>
      </c>
      <c r="B15" s="7">
        <v>219.0</v>
      </c>
      <c r="C15" s="7">
        <f t="shared" si="1"/>
        <v>1388</v>
      </c>
      <c r="D15" s="8"/>
      <c r="E15" s="6">
        <f t="shared" si="2"/>
        <v>0</v>
      </c>
      <c r="G15" s="9">
        <f t="shared" si="3"/>
        <v>0</v>
      </c>
      <c r="H15" s="8"/>
      <c r="I15" s="6">
        <f t="shared" si="4"/>
        <v>0</v>
      </c>
      <c r="K15" s="9">
        <f t="shared" si="5"/>
        <v>0</v>
      </c>
      <c r="L15" s="8"/>
      <c r="M15" s="6">
        <f t="shared" si="6"/>
        <v>0</v>
      </c>
      <c r="O15" s="9">
        <f t="shared" si="7"/>
        <v>0</v>
      </c>
      <c r="P15" s="8"/>
      <c r="Q15" s="6">
        <f t="shared" si="8"/>
        <v>0</v>
      </c>
      <c r="S15" s="9">
        <f t="shared" si="9"/>
        <v>0</v>
      </c>
    </row>
    <row r="16" ht="14.25" customHeight="1">
      <c r="A16" s="1">
        <f t="shared" si="10"/>
        <v>15</v>
      </c>
      <c r="B16" s="7">
        <v>248.0</v>
      </c>
      <c r="C16" s="7">
        <f t="shared" si="1"/>
        <v>1636</v>
      </c>
      <c r="D16" s="8"/>
      <c r="E16" s="6">
        <f t="shared" si="2"/>
        <v>0</v>
      </c>
      <c r="G16" s="9">
        <f t="shared" si="3"/>
        <v>0</v>
      </c>
      <c r="H16" s="8"/>
      <c r="I16" s="6">
        <f t="shared" si="4"/>
        <v>0</v>
      </c>
      <c r="K16" s="9">
        <f t="shared" si="5"/>
        <v>0</v>
      </c>
      <c r="L16" s="8"/>
      <c r="M16" s="6">
        <f t="shared" si="6"/>
        <v>0</v>
      </c>
      <c r="O16" s="9">
        <f t="shared" si="7"/>
        <v>0</v>
      </c>
      <c r="P16" s="8"/>
      <c r="Q16" s="6">
        <f t="shared" si="8"/>
        <v>0</v>
      </c>
      <c r="S16" s="9">
        <f t="shared" si="9"/>
        <v>0</v>
      </c>
    </row>
    <row r="17" ht="14.25" customHeight="1">
      <c r="A17" s="1">
        <f t="shared" si="10"/>
        <v>16</v>
      </c>
      <c r="B17" s="7">
        <v>280.0</v>
      </c>
      <c r="C17" s="7">
        <f t="shared" si="1"/>
        <v>1916</v>
      </c>
      <c r="D17" s="8"/>
      <c r="E17" s="6">
        <f t="shared" si="2"/>
        <v>0</v>
      </c>
      <c r="G17" s="9">
        <f t="shared" si="3"/>
        <v>0</v>
      </c>
      <c r="H17" s="8"/>
      <c r="I17" s="6">
        <f t="shared" si="4"/>
        <v>0</v>
      </c>
      <c r="K17" s="9">
        <f t="shared" si="5"/>
        <v>0</v>
      </c>
      <c r="L17" s="8"/>
      <c r="M17" s="6">
        <f t="shared" si="6"/>
        <v>0</v>
      </c>
      <c r="O17" s="9">
        <f t="shared" si="7"/>
        <v>0</v>
      </c>
      <c r="P17" s="8"/>
      <c r="Q17" s="6">
        <f t="shared" si="8"/>
        <v>0</v>
      </c>
      <c r="S17" s="9">
        <f t="shared" si="9"/>
        <v>0</v>
      </c>
    </row>
    <row r="18" ht="14.25" customHeight="1">
      <c r="A18" s="1">
        <f t="shared" si="10"/>
        <v>17</v>
      </c>
      <c r="B18" s="7">
        <v>316.0</v>
      </c>
      <c r="C18" s="7">
        <f t="shared" si="1"/>
        <v>2232</v>
      </c>
      <c r="D18" s="8"/>
      <c r="E18" s="6">
        <f t="shared" si="2"/>
        <v>0</v>
      </c>
      <c r="G18" s="9">
        <f t="shared" si="3"/>
        <v>0</v>
      </c>
      <c r="H18" s="8"/>
      <c r="I18" s="6">
        <f t="shared" si="4"/>
        <v>0</v>
      </c>
      <c r="K18" s="9">
        <f t="shared" si="5"/>
        <v>0</v>
      </c>
      <c r="L18" s="8"/>
      <c r="M18" s="6">
        <f t="shared" si="6"/>
        <v>0</v>
      </c>
      <c r="O18" s="9">
        <f t="shared" si="7"/>
        <v>0</v>
      </c>
      <c r="P18" s="8"/>
      <c r="Q18" s="6">
        <f t="shared" si="8"/>
        <v>0</v>
      </c>
      <c r="S18" s="9">
        <f t="shared" si="9"/>
        <v>0</v>
      </c>
    </row>
    <row r="19" ht="14.25" customHeight="1">
      <c r="A19" s="1">
        <f t="shared" si="10"/>
        <v>18</v>
      </c>
      <c r="B19" s="7">
        <v>355.0</v>
      </c>
      <c r="C19" s="7">
        <f t="shared" si="1"/>
        <v>2587</v>
      </c>
      <c r="D19" s="8"/>
      <c r="E19" s="6">
        <f t="shared" si="2"/>
        <v>0</v>
      </c>
      <c r="G19" s="9">
        <f t="shared" si="3"/>
        <v>0</v>
      </c>
      <c r="H19" s="8"/>
      <c r="I19" s="6">
        <f t="shared" si="4"/>
        <v>0</v>
      </c>
      <c r="K19" s="9">
        <f t="shared" si="5"/>
        <v>0</v>
      </c>
      <c r="L19" s="8"/>
      <c r="M19" s="6">
        <f t="shared" si="6"/>
        <v>0</v>
      </c>
      <c r="O19" s="9">
        <f t="shared" si="7"/>
        <v>0</v>
      </c>
      <c r="P19" s="8"/>
      <c r="Q19" s="6">
        <f t="shared" si="8"/>
        <v>0</v>
      </c>
      <c r="S19" s="9">
        <f t="shared" si="9"/>
        <v>0</v>
      </c>
    </row>
    <row r="20" ht="14.25" customHeight="1">
      <c r="A20" s="1">
        <f t="shared" si="10"/>
        <v>19</v>
      </c>
      <c r="B20" s="7">
        <v>399.0</v>
      </c>
      <c r="C20" s="7">
        <f t="shared" si="1"/>
        <v>2986</v>
      </c>
      <c r="D20" s="8"/>
      <c r="E20" s="6">
        <f t="shared" si="2"/>
        <v>0</v>
      </c>
      <c r="G20" s="9">
        <f t="shared" si="3"/>
        <v>0</v>
      </c>
      <c r="H20" s="8"/>
      <c r="I20" s="6">
        <f t="shared" si="4"/>
        <v>0</v>
      </c>
      <c r="K20" s="9">
        <f t="shared" si="5"/>
        <v>0</v>
      </c>
      <c r="L20" s="8"/>
      <c r="M20" s="6">
        <f t="shared" si="6"/>
        <v>0</v>
      </c>
      <c r="O20" s="9">
        <f t="shared" si="7"/>
        <v>0</v>
      </c>
      <c r="P20" s="8"/>
      <c r="Q20" s="6">
        <f t="shared" si="8"/>
        <v>0</v>
      </c>
      <c r="S20" s="9">
        <f t="shared" si="9"/>
        <v>0</v>
      </c>
    </row>
    <row r="21" ht="14.25" customHeight="1">
      <c r="A21" s="1">
        <f t="shared" si="10"/>
        <v>20</v>
      </c>
      <c r="B21" s="7">
        <v>448.0</v>
      </c>
      <c r="C21" s="7">
        <f t="shared" si="1"/>
        <v>3434</v>
      </c>
      <c r="D21" s="8"/>
      <c r="E21" s="6">
        <f t="shared" si="2"/>
        <v>0</v>
      </c>
      <c r="G21" s="9">
        <f t="shared" si="3"/>
        <v>0</v>
      </c>
      <c r="H21" s="8"/>
      <c r="I21" s="6">
        <f t="shared" si="4"/>
        <v>0</v>
      </c>
      <c r="K21" s="9">
        <f t="shared" si="5"/>
        <v>0</v>
      </c>
      <c r="L21" s="8"/>
      <c r="M21" s="6">
        <f t="shared" si="6"/>
        <v>0</v>
      </c>
      <c r="O21" s="9">
        <f t="shared" si="7"/>
        <v>0</v>
      </c>
      <c r="P21" s="8"/>
      <c r="Q21" s="6">
        <f t="shared" si="8"/>
        <v>0</v>
      </c>
      <c r="S21" s="9">
        <f t="shared" si="9"/>
        <v>0</v>
      </c>
    </row>
    <row r="22" ht="14.25" customHeight="1">
      <c r="A22" s="1">
        <f t="shared" si="10"/>
        <v>21</v>
      </c>
      <c r="B22" s="7">
        <v>503.0</v>
      </c>
      <c r="C22" s="7">
        <f t="shared" si="1"/>
        <v>3937</v>
      </c>
      <c r="D22" s="8"/>
      <c r="E22" s="6">
        <f t="shared" si="2"/>
        <v>0</v>
      </c>
      <c r="G22" s="9">
        <f t="shared" si="3"/>
        <v>0</v>
      </c>
      <c r="H22" s="8"/>
      <c r="I22" s="6">
        <f t="shared" si="4"/>
        <v>0</v>
      </c>
      <c r="K22" s="9">
        <f t="shared" si="5"/>
        <v>0</v>
      </c>
      <c r="L22" s="8"/>
      <c r="M22" s="6">
        <f t="shared" si="6"/>
        <v>0</v>
      </c>
      <c r="O22" s="9">
        <f t="shared" si="7"/>
        <v>0</v>
      </c>
      <c r="P22" s="8"/>
      <c r="Q22" s="6">
        <f t="shared" si="8"/>
        <v>0</v>
      </c>
      <c r="S22" s="9">
        <f t="shared" si="9"/>
        <v>0</v>
      </c>
    </row>
    <row r="23" ht="14.25" customHeight="1">
      <c r="A23" s="1">
        <f t="shared" si="10"/>
        <v>22</v>
      </c>
      <c r="B23" s="7">
        <v>563.0</v>
      </c>
      <c r="C23" s="7">
        <f t="shared" si="1"/>
        <v>4500</v>
      </c>
      <c r="D23" s="8"/>
      <c r="E23" s="6">
        <f t="shared" si="2"/>
        <v>0</v>
      </c>
      <c r="G23" s="9">
        <f t="shared" si="3"/>
        <v>0</v>
      </c>
      <c r="H23" s="8"/>
      <c r="I23" s="6">
        <f t="shared" si="4"/>
        <v>0</v>
      </c>
      <c r="K23" s="9">
        <f t="shared" si="5"/>
        <v>0</v>
      </c>
      <c r="L23" s="8"/>
      <c r="M23" s="6">
        <f t="shared" si="6"/>
        <v>0</v>
      </c>
      <c r="O23" s="9">
        <f t="shared" si="7"/>
        <v>0</v>
      </c>
      <c r="P23" s="8"/>
      <c r="Q23" s="6">
        <f t="shared" si="8"/>
        <v>0</v>
      </c>
      <c r="S23" s="9">
        <f t="shared" si="9"/>
        <v>0</v>
      </c>
    </row>
    <row r="24" ht="14.25" customHeight="1">
      <c r="A24" s="1">
        <f t="shared" si="10"/>
        <v>23</v>
      </c>
      <c r="B24" s="7">
        <v>630.0</v>
      </c>
      <c r="C24" s="7">
        <f t="shared" si="1"/>
        <v>5130</v>
      </c>
      <c r="D24" s="8"/>
      <c r="E24" s="6">
        <f t="shared" si="2"/>
        <v>0</v>
      </c>
      <c r="G24" s="9">
        <f t="shared" si="3"/>
        <v>0</v>
      </c>
      <c r="H24" s="8"/>
      <c r="I24" s="6">
        <f t="shared" si="4"/>
        <v>0</v>
      </c>
      <c r="K24" s="9">
        <f t="shared" si="5"/>
        <v>0</v>
      </c>
      <c r="L24" s="8"/>
      <c r="M24" s="6">
        <f t="shared" si="6"/>
        <v>0</v>
      </c>
      <c r="O24" s="9">
        <f t="shared" si="7"/>
        <v>0</v>
      </c>
      <c r="P24" s="8"/>
      <c r="Q24" s="6">
        <f t="shared" si="8"/>
        <v>0</v>
      </c>
      <c r="S24" s="9">
        <f t="shared" si="9"/>
        <v>0</v>
      </c>
    </row>
    <row r="25" ht="14.25" customHeight="1">
      <c r="A25" s="1">
        <f t="shared" si="10"/>
        <v>24</v>
      </c>
      <c r="B25" s="7">
        <v>704.0</v>
      </c>
      <c r="C25" s="7">
        <f t="shared" si="1"/>
        <v>5834</v>
      </c>
      <c r="D25" s="8"/>
      <c r="E25" s="6">
        <f t="shared" si="2"/>
        <v>0</v>
      </c>
      <c r="G25" s="9">
        <f t="shared" si="3"/>
        <v>0</v>
      </c>
      <c r="H25" s="8"/>
      <c r="I25" s="6">
        <f t="shared" si="4"/>
        <v>0</v>
      </c>
      <c r="K25" s="9">
        <f t="shared" si="5"/>
        <v>0</v>
      </c>
      <c r="L25" s="8"/>
      <c r="M25" s="6">
        <f t="shared" si="6"/>
        <v>0</v>
      </c>
      <c r="O25" s="9">
        <f t="shared" si="7"/>
        <v>0</v>
      </c>
      <c r="P25" s="8"/>
      <c r="Q25" s="6">
        <f t="shared" si="8"/>
        <v>0</v>
      </c>
      <c r="S25" s="9">
        <f t="shared" si="9"/>
        <v>0</v>
      </c>
    </row>
    <row r="26" ht="14.25" customHeight="1">
      <c r="A26" s="1">
        <f t="shared" si="10"/>
        <v>25</v>
      </c>
      <c r="B26" s="7">
        <v>787.0</v>
      </c>
      <c r="C26" s="7">
        <f t="shared" si="1"/>
        <v>6621</v>
      </c>
      <c r="D26" s="8"/>
      <c r="E26" s="6">
        <f t="shared" si="2"/>
        <v>0</v>
      </c>
      <c r="G26" s="9">
        <f t="shared" si="3"/>
        <v>0</v>
      </c>
      <c r="H26" s="8"/>
      <c r="I26" s="6">
        <f t="shared" si="4"/>
        <v>0</v>
      </c>
      <c r="K26" s="9">
        <f t="shared" si="5"/>
        <v>0</v>
      </c>
      <c r="L26" s="8"/>
      <c r="M26" s="6">
        <f t="shared" si="6"/>
        <v>0</v>
      </c>
      <c r="O26" s="9">
        <f t="shared" si="7"/>
        <v>0</v>
      </c>
      <c r="P26" s="8"/>
      <c r="Q26" s="6">
        <f t="shared" si="8"/>
        <v>0</v>
      </c>
      <c r="S26" s="9">
        <f t="shared" si="9"/>
        <v>0</v>
      </c>
    </row>
    <row r="27" ht="14.25" customHeight="1">
      <c r="A27" s="1">
        <f t="shared" si="10"/>
        <v>26</v>
      </c>
      <c r="B27" s="7">
        <v>878.0</v>
      </c>
      <c r="C27" s="7">
        <f t="shared" si="1"/>
        <v>7499</v>
      </c>
      <c r="D27" s="8"/>
      <c r="E27" s="6">
        <f t="shared" si="2"/>
        <v>0</v>
      </c>
      <c r="G27" s="9">
        <f t="shared" si="3"/>
        <v>0</v>
      </c>
      <c r="H27" s="8"/>
      <c r="I27" s="6">
        <f t="shared" si="4"/>
        <v>0</v>
      </c>
      <c r="K27" s="9">
        <f t="shared" si="5"/>
        <v>0</v>
      </c>
      <c r="L27" s="8"/>
      <c r="M27" s="6">
        <f t="shared" si="6"/>
        <v>0</v>
      </c>
      <c r="O27" s="9">
        <f t="shared" si="7"/>
        <v>0</v>
      </c>
      <c r="P27" s="8"/>
      <c r="Q27" s="6">
        <f t="shared" si="8"/>
        <v>0</v>
      </c>
      <c r="S27" s="9">
        <f t="shared" si="9"/>
        <v>0</v>
      </c>
    </row>
    <row r="28" ht="14.25" customHeight="1">
      <c r="A28" s="1">
        <f t="shared" si="10"/>
        <v>27</v>
      </c>
      <c r="B28" s="7">
        <v>980.0</v>
      </c>
      <c r="C28" s="7">
        <f t="shared" si="1"/>
        <v>8479</v>
      </c>
      <c r="D28" s="8"/>
      <c r="E28" s="6">
        <f t="shared" si="2"/>
        <v>0</v>
      </c>
      <c r="G28" s="9">
        <f t="shared" si="3"/>
        <v>0</v>
      </c>
      <c r="H28" s="8"/>
      <c r="I28" s="6">
        <f t="shared" si="4"/>
        <v>0</v>
      </c>
      <c r="K28" s="9">
        <f t="shared" si="5"/>
        <v>0</v>
      </c>
      <c r="L28" s="8"/>
      <c r="M28" s="6">
        <f t="shared" si="6"/>
        <v>0</v>
      </c>
      <c r="O28" s="9">
        <f t="shared" si="7"/>
        <v>0</v>
      </c>
      <c r="P28" s="8"/>
      <c r="Q28" s="6">
        <f t="shared" si="8"/>
        <v>0</v>
      </c>
      <c r="S28" s="9">
        <f t="shared" si="9"/>
        <v>0</v>
      </c>
    </row>
    <row r="29" ht="14.25" customHeight="1">
      <c r="A29" s="1">
        <f t="shared" si="10"/>
        <v>28</v>
      </c>
      <c r="B29" s="10">
        <v>1092.0</v>
      </c>
      <c r="C29" s="10">
        <f t="shared" si="1"/>
        <v>9571</v>
      </c>
      <c r="D29" s="8"/>
      <c r="E29" s="6">
        <f t="shared" si="2"/>
        <v>0</v>
      </c>
      <c r="G29" s="9">
        <f t="shared" si="3"/>
        <v>0</v>
      </c>
      <c r="H29" s="8"/>
      <c r="I29" s="6">
        <f t="shared" si="4"/>
        <v>0</v>
      </c>
      <c r="K29" s="9">
        <f t="shared" si="5"/>
        <v>0</v>
      </c>
      <c r="L29" s="8"/>
      <c r="M29" s="6">
        <f t="shared" si="6"/>
        <v>0</v>
      </c>
      <c r="O29" s="9">
        <f t="shared" si="7"/>
        <v>0</v>
      </c>
      <c r="P29" s="8"/>
      <c r="Q29" s="6">
        <f t="shared" si="8"/>
        <v>0</v>
      </c>
      <c r="S29" s="9">
        <f t="shared" si="9"/>
        <v>0</v>
      </c>
    </row>
    <row r="30" ht="14.25" customHeight="1">
      <c r="A30" s="1">
        <f t="shared" si="10"/>
        <v>29</v>
      </c>
      <c r="B30" s="10">
        <v>1218.0</v>
      </c>
      <c r="C30" s="10">
        <f t="shared" si="1"/>
        <v>10789</v>
      </c>
      <c r="D30" s="8"/>
      <c r="E30" s="6">
        <f t="shared" si="2"/>
        <v>0</v>
      </c>
      <c r="G30" s="9">
        <f t="shared" si="3"/>
        <v>0</v>
      </c>
      <c r="H30" s="8"/>
      <c r="I30" s="6">
        <f t="shared" si="4"/>
        <v>0</v>
      </c>
      <c r="K30" s="9">
        <f t="shared" si="5"/>
        <v>0</v>
      </c>
      <c r="L30" s="8"/>
      <c r="M30" s="6">
        <f t="shared" si="6"/>
        <v>0</v>
      </c>
      <c r="O30" s="9">
        <f t="shared" si="7"/>
        <v>0</v>
      </c>
      <c r="P30" s="8"/>
      <c r="Q30" s="6">
        <f t="shared" si="8"/>
        <v>0</v>
      </c>
      <c r="S30" s="9">
        <f t="shared" si="9"/>
        <v>0</v>
      </c>
    </row>
    <row r="31" ht="14.25" customHeight="1">
      <c r="A31" s="1">
        <f t="shared" si="10"/>
        <v>30</v>
      </c>
      <c r="B31" s="10">
        <v>1356.0</v>
      </c>
      <c r="C31" s="10">
        <f t="shared" si="1"/>
        <v>12145</v>
      </c>
      <c r="D31" s="8"/>
      <c r="E31" s="6">
        <f t="shared" si="2"/>
        <v>0</v>
      </c>
      <c r="G31" s="9">
        <f t="shared" si="3"/>
        <v>0</v>
      </c>
      <c r="H31" s="8"/>
      <c r="I31" s="6">
        <f t="shared" si="4"/>
        <v>0</v>
      </c>
      <c r="K31" s="9">
        <f t="shared" si="5"/>
        <v>0</v>
      </c>
      <c r="L31" s="8"/>
      <c r="M31" s="6">
        <f t="shared" si="6"/>
        <v>0</v>
      </c>
      <c r="O31" s="9">
        <f t="shared" si="7"/>
        <v>0</v>
      </c>
      <c r="P31" s="8"/>
      <c r="Q31" s="6">
        <f t="shared" si="8"/>
        <v>0</v>
      </c>
      <c r="S31" s="9">
        <f t="shared" si="9"/>
        <v>0</v>
      </c>
    </row>
    <row r="32" ht="14.25" customHeight="1">
      <c r="A32" s="1">
        <f t="shared" si="10"/>
        <v>31</v>
      </c>
      <c r="B32" s="10">
        <v>1511.0</v>
      </c>
      <c r="C32" s="10">
        <f t="shared" si="1"/>
        <v>13656</v>
      </c>
      <c r="D32" s="8"/>
      <c r="E32" s="6">
        <f t="shared" si="2"/>
        <v>0</v>
      </c>
      <c r="G32" s="9">
        <f t="shared" si="3"/>
        <v>0</v>
      </c>
      <c r="H32" s="8"/>
      <c r="I32" s="6">
        <f t="shared" si="4"/>
        <v>0</v>
      </c>
      <c r="K32" s="9">
        <f t="shared" si="5"/>
        <v>0</v>
      </c>
      <c r="L32" s="8"/>
      <c r="M32" s="6">
        <f t="shared" si="6"/>
        <v>0</v>
      </c>
      <c r="O32" s="9">
        <f t="shared" si="7"/>
        <v>0</v>
      </c>
      <c r="P32" s="8"/>
      <c r="Q32" s="6">
        <f t="shared" si="8"/>
        <v>0</v>
      </c>
      <c r="S32" s="9">
        <f t="shared" si="9"/>
        <v>0</v>
      </c>
    </row>
    <row r="33" ht="14.25" customHeight="1">
      <c r="A33" s="1">
        <f t="shared" si="10"/>
        <v>32</v>
      </c>
      <c r="B33" s="10">
        <v>1682.0</v>
      </c>
      <c r="C33" s="10">
        <f t="shared" si="1"/>
        <v>15338</v>
      </c>
      <c r="D33" s="8"/>
      <c r="E33" s="6">
        <f t="shared" si="2"/>
        <v>0</v>
      </c>
      <c r="G33" s="9">
        <f t="shared" si="3"/>
        <v>0</v>
      </c>
      <c r="H33" s="8"/>
      <c r="I33" s="6">
        <f t="shared" si="4"/>
        <v>0</v>
      </c>
      <c r="K33" s="9">
        <f t="shared" si="5"/>
        <v>0</v>
      </c>
      <c r="L33" s="8"/>
      <c r="M33" s="6">
        <f t="shared" si="6"/>
        <v>0</v>
      </c>
      <c r="O33" s="9">
        <f t="shared" si="7"/>
        <v>0</v>
      </c>
      <c r="P33" s="8"/>
      <c r="Q33" s="6">
        <f t="shared" si="8"/>
        <v>0</v>
      </c>
      <c r="S33" s="9">
        <f t="shared" si="9"/>
        <v>0</v>
      </c>
    </row>
    <row r="34" ht="14.25" customHeight="1">
      <c r="A34" s="1">
        <f t="shared" si="10"/>
        <v>33</v>
      </c>
      <c r="B34" s="10">
        <v>1872.0</v>
      </c>
      <c r="C34" s="10">
        <f t="shared" si="1"/>
        <v>17210</v>
      </c>
      <c r="D34" s="8"/>
      <c r="E34" s="6">
        <f t="shared" si="2"/>
        <v>0</v>
      </c>
      <c r="G34" s="9">
        <f t="shared" si="3"/>
        <v>0</v>
      </c>
      <c r="H34" s="8"/>
      <c r="I34" s="6">
        <f t="shared" si="4"/>
        <v>0</v>
      </c>
      <c r="K34" s="9">
        <f t="shared" si="5"/>
        <v>0</v>
      </c>
      <c r="L34" s="8"/>
      <c r="M34" s="6">
        <f t="shared" si="6"/>
        <v>0</v>
      </c>
      <c r="O34" s="9">
        <f t="shared" si="7"/>
        <v>0</v>
      </c>
      <c r="P34" s="8"/>
      <c r="Q34" s="6">
        <f t="shared" si="8"/>
        <v>0</v>
      </c>
      <c r="S34" s="9">
        <f t="shared" si="9"/>
        <v>0</v>
      </c>
    </row>
    <row r="35" ht="14.25" customHeight="1">
      <c r="A35" s="1">
        <f t="shared" si="10"/>
        <v>34</v>
      </c>
      <c r="B35" s="10">
        <v>2083.0</v>
      </c>
      <c r="C35" s="10">
        <f t="shared" si="1"/>
        <v>19293</v>
      </c>
      <c r="D35" s="8"/>
      <c r="E35" s="6">
        <f t="shared" si="2"/>
        <v>0</v>
      </c>
      <c r="G35" s="9">
        <f t="shared" si="3"/>
        <v>0</v>
      </c>
      <c r="H35" s="8"/>
      <c r="I35" s="6">
        <f t="shared" si="4"/>
        <v>0</v>
      </c>
      <c r="K35" s="9">
        <f t="shared" si="5"/>
        <v>0</v>
      </c>
      <c r="L35" s="8"/>
      <c r="M35" s="6">
        <f t="shared" si="6"/>
        <v>0</v>
      </c>
      <c r="O35" s="9">
        <f t="shared" si="7"/>
        <v>0</v>
      </c>
      <c r="P35" s="8"/>
      <c r="Q35" s="6">
        <f t="shared" si="8"/>
        <v>0</v>
      </c>
      <c r="S35" s="9">
        <f t="shared" si="9"/>
        <v>0</v>
      </c>
    </row>
    <row r="36" ht="14.25" customHeight="1">
      <c r="A36" s="1">
        <f t="shared" si="10"/>
        <v>35</v>
      </c>
      <c r="B36" s="10">
        <v>2317.0</v>
      </c>
      <c r="C36" s="10">
        <f t="shared" si="1"/>
        <v>21610</v>
      </c>
      <c r="D36" s="8"/>
      <c r="E36" s="6">
        <f t="shared" si="2"/>
        <v>0</v>
      </c>
      <c r="G36" s="9">
        <f t="shared" si="3"/>
        <v>0</v>
      </c>
      <c r="H36" s="8"/>
      <c r="I36" s="6">
        <f t="shared" si="4"/>
        <v>0</v>
      </c>
      <c r="K36" s="9">
        <f t="shared" si="5"/>
        <v>0</v>
      </c>
      <c r="L36" s="8"/>
      <c r="M36" s="6">
        <f t="shared" si="6"/>
        <v>0</v>
      </c>
      <c r="O36" s="9">
        <f t="shared" si="7"/>
        <v>0</v>
      </c>
      <c r="P36" s="8"/>
      <c r="Q36" s="6">
        <f t="shared" si="8"/>
        <v>0</v>
      </c>
      <c r="S36" s="9">
        <f t="shared" si="9"/>
        <v>0</v>
      </c>
    </row>
    <row r="37" ht="14.25" customHeight="1">
      <c r="A37" s="1">
        <f t="shared" si="10"/>
        <v>36</v>
      </c>
      <c r="B37" s="10">
        <v>2577.0</v>
      </c>
      <c r="C37" s="10">
        <f t="shared" si="1"/>
        <v>24187</v>
      </c>
      <c r="D37" s="8"/>
      <c r="E37" s="6">
        <f t="shared" si="2"/>
        <v>0</v>
      </c>
      <c r="G37" s="9">
        <f t="shared" si="3"/>
        <v>0</v>
      </c>
      <c r="H37" s="8"/>
      <c r="I37" s="6">
        <f t="shared" si="4"/>
        <v>0</v>
      </c>
      <c r="K37" s="9">
        <f t="shared" si="5"/>
        <v>0</v>
      </c>
      <c r="L37" s="8"/>
      <c r="M37" s="6">
        <f t="shared" si="6"/>
        <v>0</v>
      </c>
      <c r="O37" s="9">
        <f t="shared" si="7"/>
        <v>0</v>
      </c>
      <c r="P37" s="8"/>
      <c r="Q37" s="6">
        <f t="shared" si="8"/>
        <v>0</v>
      </c>
      <c r="S37" s="9">
        <f t="shared" si="9"/>
        <v>0</v>
      </c>
    </row>
    <row r="38" ht="14.25" customHeight="1">
      <c r="A38" s="1">
        <f t="shared" si="10"/>
        <v>37</v>
      </c>
      <c r="B38" s="10">
        <v>2865.0</v>
      </c>
      <c r="C38" s="10">
        <f t="shared" si="1"/>
        <v>27052</v>
      </c>
      <c r="D38" s="8"/>
      <c r="E38" s="6">
        <f t="shared" si="2"/>
        <v>0</v>
      </c>
      <c r="G38" s="9">
        <f t="shared" si="3"/>
        <v>0</v>
      </c>
      <c r="H38" s="8"/>
      <c r="I38" s="6">
        <f t="shared" si="4"/>
        <v>0</v>
      </c>
      <c r="K38" s="9">
        <f t="shared" si="5"/>
        <v>0</v>
      </c>
      <c r="L38" s="8"/>
      <c r="M38" s="6">
        <f t="shared" si="6"/>
        <v>0</v>
      </c>
      <c r="O38" s="9">
        <f t="shared" si="7"/>
        <v>0</v>
      </c>
      <c r="P38" s="8"/>
      <c r="Q38" s="6">
        <f t="shared" si="8"/>
        <v>0</v>
      </c>
      <c r="S38" s="9">
        <f t="shared" si="9"/>
        <v>0</v>
      </c>
    </row>
    <row r="39" ht="14.25" customHeight="1">
      <c r="A39" s="1">
        <f t="shared" si="10"/>
        <v>38</v>
      </c>
      <c r="B39" s="10">
        <v>3185.0</v>
      </c>
      <c r="C39" s="10">
        <f t="shared" si="1"/>
        <v>30237</v>
      </c>
      <c r="D39" s="8"/>
      <c r="E39" s="6">
        <f t="shared" si="2"/>
        <v>0</v>
      </c>
      <c r="G39" s="9">
        <f t="shared" si="3"/>
        <v>0</v>
      </c>
      <c r="H39" s="8"/>
      <c r="I39" s="6">
        <f t="shared" si="4"/>
        <v>0</v>
      </c>
      <c r="K39" s="9">
        <f t="shared" si="5"/>
        <v>0</v>
      </c>
      <c r="L39" s="8"/>
      <c r="M39" s="6">
        <f t="shared" si="6"/>
        <v>0</v>
      </c>
      <c r="O39" s="9">
        <f t="shared" si="7"/>
        <v>0</v>
      </c>
      <c r="P39" s="8"/>
      <c r="Q39" s="6">
        <f t="shared" si="8"/>
        <v>0</v>
      </c>
      <c r="S39" s="9">
        <f t="shared" si="9"/>
        <v>0</v>
      </c>
    </row>
    <row r="40" ht="14.25" customHeight="1">
      <c r="A40" s="1">
        <f t="shared" si="10"/>
        <v>39</v>
      </c>
      <c r="B40" s="10">
        <v>3541.0</v>
      </c>
      <c r="C40" s="10">
        <f t="shared" si="1"/>
        <v>33778</v>
      </c>
      <c r="D40" s="8"/>
      <c r="E40" s="6">
        <f t="shared" si="2"/>
        <v>0</v>
      </c>
      <c r="G40" s="9">
        <f t="shared" si="3"/>
        <v>0</v>
      </c>
      <c r="H40" s="8"/>
      <c r="I40" s="6">
        <f t="shared" si="4"/>
        <v>0</v>
      </c>
      <c r="K40" s="9">
        <f t="shared" si="5"/>
        <v>0</v>
      </c>
      <c r="L40" s="8"/>
      <c r="M40" s="6">
        <f t="shared" si="6"/>
        <v>0</v>
      </c>
      <c r="O40" s="9">
        <f t="shared" si="7"/>
        <v>0</v>
      </c>
      <c r="P40" s="8"/>
      <c r="Q40" s="6">
        <f t="shared" si="8"/>
        <v>0</v>
      </c>
      <c r="S40" s="9">
        <f t="shared" si="9"/>
        <v>0</v>
      </c>
    </row>
    <row r="41" ht="14.25" customHeight="1">
      <c r="A41" s="1">
        <f t="shared" si="10"/>
        <v>40</v>
      </c>
      <c r="B41" s="10">
        <v>3935.0</v>
      </c>
      <c r="C41" s="10">
        <f t="shared" si="1"/>
        <v>37713</v>
      </c>
      <c r="D41" s="8"/>
      <c r="E41" s="6">
        <f t="shared" si="2"/>
        <v>0</v>
      </c>
      <c r="G41" s="9">
        <f t="shared" si="3"/>
        <v>0</v>
      </c>
      <c r="H41" s="8"/>
      <c r="I41" s="6">
        <f t="shared" si="4"/>
        <v>0</v>
      </c>
      <c r="K41" s="9">
        <f t="shared" si="5"/>
        <v>0</v>
      </c>
      <c r="L41" s="8"/>
      <c r="M41" s="6">
        <f t="shared" si="6"/>
        <v>0</v>
      </c>
      <c r="O41" s="9">
        <f t="shared" si="7"/>
        <v>0</v>
      </c>
      <c r="P41" s="8"/>
      <c r="Q41" s="6">
        <f t="shared" si="8"/>
        <v>0</v>
      </c>
      <c r="S41" s="9">
        <f t="shared" si="9"/>
        <v>0</v>
      </c>
    </row>
    <row r="42" ht="14.25" customHeight="1">
      <c r="A42" s="1">
        <f t="shared" si="10"/>
        <v>41</v>
      </c>
      <c r="B42" s="10">
        <v>4373.0</v>
      </c>
      <c r="C42" s="10">
        <f t="shared" si="1"/>
        <v>42086</v>
      </c>
      <c r="D42" s="8"/>
      <c r="E42" s="6">
        <f t="shared" si="2"/>
        <v>0</v>
      </c>
      <c r="G42" s="9">
        <f t="shared" si="3"/>
        <v>0</v>
      </c>
      <c r="H42" s="8"/>
      <c r="I42" s="6">
        <f t="shared" si="4"/>
        <v>0</v>
      </c>
      <c r="K42" s="9">
        <f t="shared" si="5"/>
        <v>0</v>
      </c>
      <c r="L42" s="8"/>
      <c r="M42" s="6">
        <f t="shared" si="6"/>
        <v>0</v>
      </c>
      <c r="O42" s="9">
        <f t="shared" si="7"/>
        <v>0</v>
      </c>
      <c r="P42" s="8"/>
      <c r="Q42" s="6">
        <f t="shared" si="8"/>
        <v>0</v>
      </c>
      <c r="S42" s="9">
        <f t="shared" si="9"/>
        <v>0</v>
      </c>
    </row>
    <row r="43" ht="14.25" customHeight="1">
      <c r="A43" s="1">
        <f t="shared" si="10"/>
        <v>42</v>
      </c>
      <c r="B43" s="10">
        <v>4859.0</v>
      </c>
      <c r="C43" s="10">
        <f t="shared" si="1"/>
        <v>46945</v>
      </c>
      <c r="D43" s="8"/>
      <c r="E43" s="6">
        <f t="shared" si="2"/>
        <v>0</v>
      </c>
      <c r="G43" s="9">
        <f t="shared" si="3"/>
        <v>0</v>
      </c>
      <c r="H43" s="8"/>
      <c r="I43" s="6">
        <f t="shared" si="4"/>
        <v>0</v>
      </c>
      <c r="K43" s="9">
        <f t="shared" si="5"/>
        <v>0</v>
      </c>
      <c r="L43" s="8"/>
      <c r="M43" s="6">
        <f t="shared" si="6"/>
        <v>0</v>
      </c>
      <c r="O43" s="9">
        <f t="shared" si="7"/>
        <v>0</v>
      </c>
      <c r="P43" s="8"/>
      <c r="Q43" s="6">
        <f t="shared" si="8"/>
        <v>0</v>
      </c>
      <c r="S43" s="9">
        <f t="shared" si="9"/>
        <v>0</v>
      </c>
    </row>
    <row r="44" ht="14.25" customHeight="1">
      <c r="A44" s="1">
        <f t="shared" si="10"/>
        <v>43</v>
      </c>
      <c r="B44" s="10">
        <v>5399.0</v>
      </c>
      <c r="C44" s="10">
        <f t="shared" si="1"/>
        <v>52344</v>
      </c>
      <c r="D44" s="8"/>
      <c r="E44" s="6">
        <f t="shared" si="2"/>
        <v>0</v>
      </c>
      <c r="G44" s="9">
        <f t="shared" si="3"/>
        <v>0</v>
      </c>
      <c r="H44" s="8"/>
      <c r="I44" s="6">
        <f t="shared" si="4"/>
        <v>0</v>
      </c>
      <c r="K44" s="9">
        <f t="shared" si="5"/>
        <v>0</v>
      </c>
      <c r="L44" s="8"/>
      <c r="M44" s="6">
        <f t="shared" si="6"/>
        <v>0</v>
      </c>
      <c r="O44" s="9">
        <f t="shared" si="7"/>
        <v>0</v>
      </c>
      <c r="P44" s="8"/>
      <c r="Q44" s="6">
        <f t="shared" si="8"/>
        <v>0</v>
      </c>
      <c r="S44" s="9">
        <f t="shared" si="9"/>
        <v>0</v>
      </c>
    </row>
    <row r="45" ht="14.25" customHeight="1">
      <c r="A45" s="1">
        <f t="shared" si="10"/>
        <v>44</v>
      </c>
      <c r="B45" s="10">
        <v>5998.0</v>
      </c>
      <c r="C45" s="10">
        <f t="shared" si="1"/>
        <v>58342</v>
      </c>
      <c r="D45" s="8"/>
      <c r="E45" s="6">
        <f t="shared" si="2"/>
        <v>0</v>
      </c>
      <c r="G45" s="9">
        <f t="shared" si="3"/>
        <v>0</v>
      </c>
      <c r="H45" s="8"/>
      <c r="I45" s="6">
        <f t="shared" si="4"/>
        <v>0</v>
      </c>
      <c r="K45" s="9">
        <f t="shared" si="5"/>
        <v>0</v>
      </c>
      <c r="L45" s="8"/>
      <c r="M45" s="6">
        <f t="shared" si="6"/>
        <v>0</v>
      </c>
      <c r="O45" s="9">
        <f t="shared" si="7"/>
        <v>0</v>
      </c>
      <c r="P45" s="8"/>
      <c r="Q45" s="6">
        <f t="shared" si="8"/>
        <v>0</v>
      </c>
      <c r="S45" s="9">
        <f t="shared" si="9"/>
        <v>0</v>
      </c>
    </row>
    <row r="46" ht="14.25" customHeight="1">
      <c r="A46" s="1">
        <f t="shared" si="10"/>
        <v>45</v>
      </c>
      <c r="B46" s="10">
        <v>6662.0</v>
      </c>
      <c r="C46" s="10">
        <f t="shared" si="1"/>
        <v>65004</v>
      </c>
      <c r="D46" s="8"/>
      <c r="E46" s="6">
        <f t="shared" si="2"/>
        <v>0</v>
      </c>
      <c r="G46" s="9">
        <f t="shared" si="3"/>
        <v>0</v>
      </c>
      <c r="H46" s="8"/>
      <c r="I46" s="6">
        <f t="shared" si="4"/>
        <v>0</v>
      </c>
      <c r="K46" s="9">
        <f t="shared" si="5"/>
        <v>0</v>
      </c>
      <c r="L46" s="8"/>
      <c r="M46" s="6">
        <f t="shared" si="6"/>
        <v>0</v>
      </c>
      <c r="O46" s="9">
        <f t="shared" si="7"/>
        <v>0</v>
      </c>
      <c r="P46" s="8"/>
      <c r="Q46" s="6">
        <f t="shared" si="8"/>
        <v>0</v>
      </c>
      <c r="S46" s="9">
        <f t="shared" si="9"/>
        <v>0</v>
      </c>
    </row>
    <row r="47" ht="14.25" customHeight="1">
      <c r="A47" s="1">
        <f t="shared" si="10"/>
        <v>46</v>
      </c>
      <c r="B47" s="10">
        <v>7400.0</v>
      </c>
      <c r="C47" s="10">
        <f t="shared" si="1"/>
        <v>72404</v>
      </c>
      <c r="D47" s="8"/>
      <c r="E47" s="6">
        <f t="shared" si="2"/>
        <v>0</v>
      </c>
      <c r="G47" s="9">
        <f t="shared" si="3"/>
        <v>0</v>
      </c>
      <c r="H47" s="8"/>
      <c r="I47" s="6">
        <f t="shared" si="4"/>
        <v>0</v>
      </c>
      <c r="K47" s="9">
        <f t="shared" si="5"/>
        <v>0</v>
      </c>
      <c r="L47" s="8"/>
      <c r="M47" s="6">
        <f t="shared" si="6"/>
        <v>0</v>
      </c>
      <c r="O47" s="9">
        <f t="shared" si="7"/>
        <v>0</v>
      </c>
      <c r="P47" s="8"/>
      <c r="Q47" s="6">
        <f t="shared" si="8"/>
        <v>0</v>
      </c>
      <c r="S47" s="9">
        <f t="shared" si="9"/>
        <v>0</v>
      </c>
    </row>
    <row r="48" ht="14.25" customHeight="1">
      <c r="A48" s="1">
        <f t="shared" si="10"/>
        <v>47</v>
      </c>
      <c r="B48" s="10">
        <v>8219.0</v>
      </c>
      <c r="C48" s="10">
        <f t="shared" si="1"/>
        <v>80623</v>
      </c>
      <c r="D48" s="8"/>
      <c r="E48" s="6">
        <f t="shared" si="2"/>
        <v>0</v>
      </c>
      <c r="G48" s="9">
        <f t="shared" si="3"/>
        <v>0</v>
      </c>
      <c r="H48" s="8"/>
      <c r="I48" s="6">
        <f t="shared" si="4"/>
        <v>0</v>
      </c>
      <c r="K48" s="9">
        <f t="shared" si="5"/>
        <v>0</v>
      </c>
      <c r="L48" s="8"/>
      <c r="M48" s="6">
        <f t="shared" si="6"/>
        <v>0</v>
      </c>
      <c r="O48" s="9">
        <f t="shared" si="7"/>
        <v>0</v>
      </c>
      <c r="P48" s="8"/>
      <c r="Q48" s="6">
        <f t="shared" si="8"/>
        <v>0</v>
      </c>
      <c r="S48" s="9">
        <f t="shared" si="9"/>
        <v>0</v>
      </c>
    </row>
    <row r="49" ht="14.25" customHeight="1">
      <c r="A49" s="1">
        <f t="shared" si="10"/>
        <v>48</v>
      </c>
      <c r="B49" s="10">
        <v>9128.0</v>
      </c>
      <c r="C49" s="10">
        <f t="shared" si="1"/>
        <v>89751</v>
      </c>
      <c r="D49" s="8"/>
      <c r="E49" s="6">
        <f t="shared" si="2"/>
        <v>0</v>
      </c>
      <c r="G49" s="9">
        <f t="shared" si="3"/>
        <v>0</v>
      </c>
      <c r="H49" s="8"/>
      <c r="I49" s="6">
        <f t="shared" si="4"/>
        <v>0</v>
      </c>
      <c r="K49" s="9">
        <f t="shared" si="5"/>
        <v>0</v>
      </c>
      <c r="L49" s="8"/>
      <c r="M49" s="6">
        <f t="shared" si="6"/>
        <v>0</v>
      </c>
      <c r="O49" s="9">
        <f t="shared" si="7"/>
        <v>0</v>
      </c>
      <c r="P49" s="8"/>
      <c r="Q49" s="6">
        <f t="shared" si="8"/>
        <v>0</v>
      </c>
      <c r="S49" s="9">
        <f t="shared" si="9"/>
        <v>0</v>
      </c>
    </row>
    <row r="50" ht="14.25" customHeight="1">
      <c r="A50" s="1">
        <f t="shared" si="10"/>
        <v>49</v>
      </c>
      <c r="B50" s="10">
        <v>10137.0</v>
      </c>
      <c r="C50" s="10">
        <f t="shared" si="1"/>
        <v>99888</v>
      </c>
      <c r="D50" s="8"/>
      <c r="E50" s="6">
        <f t="shared" si="2"/>
        <v>0</v>
      </c>
      <c r="G50" s="9">
        <f t="shared" si="3"/>
        <v>0</v>
      </c>
      <c r="H50" s="8"/>
      <c r="I50" s="6">
        <f t="shared" si="4"/>
        <v>0</v>
      </c>
      <c r="K50" s="9">
        <f t="shared" si="5"/>
        <v>0</v>
      </c>
      <c r="L50" s="8"/>
      <c r="M50" s="6">
        <f t="shared" si="6"/>
        <v>0</v>
      </c>
      <c r="O50" s="9">
        <f t="shared" si="7"/>
        <v>0</v>
      </c>
      <c r="P50" s="8"/>
      <c r="Q50" s="6">
        <f t="shared" si="8"/>
        <v>0</v>
      </c>
      <c r="S50" s="9">
        <f t="shared" si="9"/>
        <v>0</v>
      </c>
    </row>
    <row r="51" ht="14.25" customHeight="1">
      <c r="A51" s="1">
        <f t="shared" si="10"/>
        <v>50</v>
      </c>
      <c r="B51" s="10">
        <v>11257.0</v>
      </c>
      <c r="C51" s="10">
        <f t="shared" si="1"/>
        <v>111145</v>
      </c>
      <c r="D51" s="8"/>
      <c r="E51" s="6">
        <f t="shared" si="2"/>
        <v>0</v>
      </c>
      <c r="G51" s="9">
        <f t="shared" si="3"/>
        <v>0</v>
      </c>
      <c r="H51" s="8"/>
      <c r="I51" s="6">
        <f t="shared" si="4"/>
        <v>0</v>
      </c>
      <c r="K51" s="9">
        <f t="shared" si="5"/>
        <v>0</v>
      </c>
      <c r="L51" s="8"/>
      <c r="M51" s="6">
        <f t="shared" si="6"/>
        <v>0</v>
      </c>
      <c r="O51" s="9">
        <f t="shared" si="7"/>
        <v>0</v>
      </c>
      <c r="P51" s="8"/>
      <c r="Q51" s="6">
        <f t="shared" si="8"/>
        <v>0</v>
      </c>
      <c r="S51" s="9">
        <f t="shared" si="9"/>
        <v>0</v>
      </c>
    </row>
    <row r="52" ht="14.25" customHeight="1">
      <c r="A52" s="1">
        <f t="shared" si="10"/>
        <v>51</v>
      </c>
      <c r="B52" s="10">
        <v>12501.0</v>
      </c>
      <c r="C52" s="10">
        <f t="shared" si="1"/>
        <v>123646</v>
      </c>
      <c r="D52" s="8"/>
      <c r="E52" s="6">
        <f t="shared" si="2"/>
        <v>0</v>
      </c>
      <c r="G52" s="9">
        <f t="shared" si="3"/>
        <v>0</v>
      </c>
      <c r="H52" s="8"/>
      <c r="I52" s="6">
        <f t="shared" si="4"/>
        <v>0</v>
      </c>
      <c r="K52" s="9">
        <f t="shared" si="5"/>
        <v>0</v>
      </c>
      <c r="L52" s="8"/>
      <c r="M52" s="6">
        <f t="shared" si="6"/>
        <v>0</v>
      </c>
      <c r="O52" s="9">
        <f t="shared" si="7"/>
        <v>0</v>
      </c>
      <c r="P52" s="8"/>
      <c r="Q52" s="6">
        <f t="shared" si="8"/>
        <v>0</v>
      </c>
      <c r="S52" s="9">
        <f t="shared" si="9"/>
        <v>0</v>
      </c>
    </row>
    <row r="53" ht="14.25" customHeight="1">
      <c r="A53" s="1">
        <f t="shared" si="10"/>
        <v>52</v>
      </c>
      <c r="B53" s="10">
        <v>13881.0</v>
      </c>
      <c r="C53" s="10">
        <f t="shared" si="1"/>
        <v>137527</v>
      </c>
      <c r="D53" s="8"/>
      <c r="E53" s="6">
        <f t="shared" si="2"/>
        <v>0</v>
      </c>
      <c r="G53" s="9">
        <f t="shared" si="3"/>
        <v>0</v>
      </c>
      <c r="H53" s="8"/>
      <c r="I53" s="6">
        <f t="shared" si="4"/>
        <v>0</v>
      </c>
      <c r="K53" s="9">
        <f t="shared" si="5"/>
        <v>0</v>
      </c>
      <c r="L53" s="8"/>
      <c r="M53" s="6">
        <f t="shared" si="6"/>
        <v>0</v>
      </c>
      <c r="O53" s="9">
        <f t="shared" si="7"/>
        <v>0</v>
      </c>
      <c r="P53" s="8"/>
      <c r="Q53" s="6">
        <f t="shared" si="8"/>
        <v>0</v>
      </c>
      <c r="S53" s="9">
        <f t="shared" si="9"/>
        <v>0</v>
      </c>
    </row>
    <row r="54" ht="14.25" customHeight="1">
      <c r="A54" s="1">
        <f t="shared" si="10"/>
        <v>53</v>
      </c>
      <c r="B54" s="10">
        <v>15413.0</v>
      </c>
      <c r="C54" s="10">
        <f t="shared" si="1"/>
        <v>152940</v>
      </c>
      <c r="D54" s="8"/>
      <c r="E54" s="6">
        <f t="shared" si="2"/>
        <v>0</v>
      </c>
      <c r="G54" s="9">
        <f t="shared" si="3"/>
        <v>0</v>
      </c>
      <c r="H54" s="8"/>
      <c r="I54" s="6">
        <f t="shared" si="4"/>
        <v>0</v>
      </c>
      <c r="K54" s="9">
        <f t="shared" si="5"/>
        <v>0</v>
      </c>
      <c r="L54" s="8"/>
      <c r="M54" s="6">
        <f t="shared" si="6"/>
        <v>0</v>
      </c>
      <c r="O54" s="9">
        <f t="shared" si="7"/>
        <v>0</v>
      </c>
      <c r="P54" s="8"/>
      <c r="Q54" s="6">
        <f t="shared" si="8"/>
        <v>0</v>
      </c>
      <c r="S54" s="9">
        <f t="shared" si="9"/>
        <v>0</v>
      </c>
    </row>
    <row r="55" ht="14.25" customHeight="1">
      <c r="A55" s="1">
        <f t="shared" si="10"/>
        <v>54</v>
      </c>
      <c r="B55" s="10">
        <v>17113.0</v>
      </c>
      <c r="C55" s="10">
        <f t="shared" si="1"/>
        <v>170053</v>
      </c>
      <c r="D55" s="8"/>
      <c r="E55" s="6">
        <f t="shared" si="2"/>
        <v>0</v>
      </c>
      <c r="G55" s="9">
        <f t="shared" si="3"/>
        <v>0</v>
      </c>
      <c r="H55" s="8"/>
      <c r="I55" s="6">
        <f t="shared" si="4"/>
        <v>0</v>
      </c>
      <c r="K55" s="9">
        <f t="shared" si="5"/>
        <v>0</v>
      </c>
      <c r="L55" s="8"/>
      <c r="M55" s="6">
        <f t="shared" si="6"/>
        <v>0</v>
      </c>
      <c r="O55" s="9">
        <f t="shared" si="7"/>
        <v>0</v>
      </c>
      <c r="P55" s="8"/>
      <c r="Q55" s="6">
        <f t="shared" si="8"/>
        <v>0</v>
      </c>
      <c r="S55" s="9">
        <f t="shared" si="9"/>
        <v>0</v>
      </c>
    </row>
    <row r="56" ht="14.25" customHeight="1">
      <c r="A56" s="1">
        <f t="shared" si="10"/>
        <v>55</v>
      </c>
      <c r="B56" s="10">
        <v>19001.0</v>
      </c>
      <c r="C56" s="10">
        <f t="shared" si="1"/>
        <v>189054</v>
      </c>
      <c r="D56" s="8"/>
      <c r="E56" s="6">
        <f t="shared" si="2"/>
        <v>0</v>
      </c>
      <c r="G56" s="9">
        <f t="shared" si="3"/>
        <v>0</v>
      </c>
      <c r="H56" s="8"/>
      <c r="I56" s="6">
        <f t="shared" si="4"/>
        <v>0</v>
      </c>
      <c r="K56" s="9">
        <f t="shared" si="5"/>
        <v>0</v>
      </c>
      <c r="L56" s="8"/>
      <c r="M56" s="6">
        <f t="shared" si="6"/>
        <v>0</v>
      </c>
      <c r="O56" s="9">
        <f t="shared" si="7"/>
        <v>0</v>
      </c>
      <c r="P56" s="8"/>
      <c r="Q56" s="6">
        <f t="shared" si="8"/>
        <v>0</v>
      </c>
      <c r="S56" s="9">
        <f t="shared" si="9"/>
        <v>0</v>
      </c>
    </row>
    <row r="57" ht="14.25" customHeight="1">
      <c r="A57" s="1">
        <f t="shared" si="10"/>
        <v>56</v>
      </c>
      <c r="B57" s="10">
        <v>21096.0</v>
      </c>
      <c r="C57" s="10">
        <f t="shared" si="1"/>
        <v>210150</v>
      </c>
      <c r="D57" s="8"/>
      <c r="E57" s="6">
        <f t="shared" si="2"/>
        <v>0</v>
      </c>
      <c r="G57" s="9">
        <f t="shared" si="3"/>
        <v>0</v>
      </c>
      <c r="H57" s="8"/>
      <c r="I57" s="6">
        <f t="shared" si="4"/>
        <v>0</v>
      </c>
      <c r="K57" s="9">
        <f t="shared" si="5"/>
        <v>0</v>
      </c>
      <c r="L57" s="8"/>
      <c r="M57" s="6">
        <f t="shared" si="6"/>
        <v>0</v>
      </c>
      <c r="O57" s="9">
        <f t="shared" si="7"/>
        <v>0</v>
      </c>
      <c r="P57" s="8"/>
      <c r="Q57" s="6">
        <f t="shared" si="8"/>
        <v>0</v>
      </c>
      <c r="S57" s="9">
        <f t="shared" si="9"/>
        <v>0</v>
      </c>
    </row>
    <row r="58" ht="14.25" customHeight="1">
      <c r="A58" s="1">
        <f t="shared" si="10"/>
        <v>57</v>
      </c>
      <c r="B58" s="10">
        <v>23421.0</v>
      </c>
      <c r="C58" s="10">
        <f t="shared" si="1"/>
        <v>233571</v>
      </c>
      <c r="D58" s="8"/>
      <c r="E58" s="6">
        <f t="shared" si="2"/>
        <v>0</v>
      </c>
      <c r="G58" s="9">
        <f t="shared" si="3"/>
        <v>0</v>
      </c>
      <c r="H58" s="8"/>
      <c r="I58" s="6">
        <f t="shared" si="4"/>
        <v>0</v>
      </c>
      <c r="K58" s="9">
        <f t="shared" si="5"/>
        <v>0</v>
      </c>
      <c r="L58" s="8"/>
      <c r="M58" s="6">
        <f t="shared" si="6"/>
        <v>0</v>
      </c>
      <c r="O58" s="9">
        <f t="shared" si="7"/>
        <v>0</v>
      </c>
      <c r="P58" s="8"/>
      <c r="Q58" s="6">
        <f t="shared" si="8"/>
        <v>0</v>
      </c>
      <c r="S58" s="9">
        <f t="shared" si="9"/>
        <v>0</v>
      </c>
    </row>
    <row r="59" ht="14.25" customHeight="1">
      <c r="A59" s="1">
        <f t="shared" si="10"/>
        <v>58</v>
      </c>
      <c r="B59" s="10">
        <v>26002.0</v>
      </c>
      <c r="C59" s="10">
        <f t="shared" si="1"/>
        <v>259573</v>
      </c>
      <c r="D59" s="8"/>
      <c r="E59" s="6">
        <f t="shared" si="2"/>
        <v>0</v>
      </c>
      <c r="G59" s="9">
        <f t="shared" si="3"/>
        <v>0</v>
      </c>
      <c r="H59" s="8"/>
      <c r="I59" s="6">
        <f t="shared" si="4"/>
        <v>0</v>
      </c>
      <c r="K59" s="9">
        <f t="shared" si="5"/>
        <v>0</v>
      </c>
      <c r="L59" s="8"/>
      <c r="M59" s="6">
        <f t="shared" si="6"/>
        <v>0</v>
      </c>
      <c r="O59" s="9">
        <f t="shared" si="7"/>
        <v>0</v>
      </c>
      <c r="P59" s="8"/>
      <c r="Q59" s="6">
        <f t="shared" si="8"/>
        <v>0</v>
      </c>
      <c r="S59" s="9">
        <f t="shared" si="9"/>
        <v>0</v>
      </c>
    </row>
    <row r="60" ht="14.25" customHeight="1">
      <c r="A60" s="1">
        <f t="shared" si="10"/>
        <v>59</v>
      </c>
      <c r="B60" s="10">
        <v>28868.0</v>
      </c>
      <c r="C60" s="10">
        <f t="shared" si="1"/>
        <v>288441</v>
      </c>
      <c r="D60" s="8"/>
      <c r="E60" s="6">
        <f t="shared" si="2"/>
        <v>0</v>
      </c>
      <c r="G60" s="9">
        <f t="shared" si="3"/>
        <v>0</v>
      </c>
      <c r="H60" s="8"/>
      <c r="I60" s="6">
        <f t="shared" si="4"/>
        <v>0</v>
      </c>
      <c r="K60" s="9">
        <f t="shared" si="5"/>
        <v>0</v>
      </c>
      <c r="L60" s="8"/>
      <c r="M60" s="6">
        <f t="shared" si="6"/>
        <v>0</v>
      </c>
      <c r="O60" s="9">
        <f t="shared" si="7"/>
        <v>0</v>
      </c>
      <c r="P60" s="8"/>
      <c r="Q60" s="6">
        <f t="shared" si="8"/>
        <v>0</v>
      </c>
      <c r="S60" s="9">
        <f t="shared" si="9"/>
        <v>0</v>
      </c>
    </row>
    <row r="61" ht="14.25" customHeight="1">
      <c r="A61" s="1">
        <f t="shared" si="10"/>
        <v>60</v>
      </c>
      <c r="B61" s="10">
        <v>32048.0</v>
      </c>
      <c r="C61" s="10">
        <f t="shared" si="1"/>
        <v>320489</v>
      </c>
      <c r="D61" s="8"/>
      <c r="E61" s="6">
        <f t="shared" si="2"/>
        <v>0</v>
      </c>
      <c r="G61" s="9">
        <f t="shared" si="3"/>
        <v>0</v>
      </c>
      <c r="H61" s="8"/>
      <c r="I61" s="6">
        <f t="shared" si="4"/>
        <v>0</v>
      </c>
      <c r="K61" s="9">
        <f t="shared" si="5"/>
        <v>0</v>
      </c>
      <c r="L61" s="8"/>
      <c r="M61" s="6">
        <f t="shared" si="6"/>
        <v>0</v>
      </c>
      <c r="O61" s="9">
        <f t="shared" si="7"/>
        <v>0</v>
      </c>
      <c r="P61" s="8"/>
      <c r="Q61" s="6">
        <f t="shared" si="8"/>
        <v>0</v>
      </c>
      <c r="S61" s="9">
        <f t="shared" si="9"/>
        <v>0</v>
      </c>
    </row>
    <row r="62" ht="14.25" customHeight="1">
      <c r="A62" s="1">
        <f t="shared" si="10"/>
        <v>61</v>
      </c>
      <c r="B62" s="10">
        <v>35578.0</v>
      </c>
      <c r="C62" s="10">
        <f t="shared" si="1"/>
        <v>356067</v>
      </c>
      <c r="D62" s="8"/>
      <c r="E62" s="6">
        <f t="shared" si="2"/>
        <v>0</v>
      </c>
      <c r="G62" s="9">
        <f t="shared" si="3"/>
        <v>0</v>
      </c>
      <c r="H62" s="8"/>
      <c r="I62" s="6">
        <f t="shared" si="4"/>
        <v>0</v>
      </c>
      <c r="K62" s="9">
        <f t="shared" si="5"/>
        <v>0</v>
      </c>
      <c r="L62" s="8"/>
      <c r="M62" s="6">
        <f t="shared" si="6"/>
        <v>0</v>
      </c>
      <c r="O62" s="9">
        <f t="shared" si="7"/>
        <v>0</v>
      </c>
      <c r="P62" s="8"/>
      <c r="Q62" s="6">
        <f t="shared" si="8"/>
        <v>0</v>
      </c>
      <c r="S62" s="9">
        <f t="shared" si="9"/>
        <v>0</v>
      </c>
    </row>
    <row r="63" ht="14.25" customHeight="1">
      <c r="A63" s="1">
        <f t="shared" si="10"/>
        <v>62</v>
      </c>
      <c r="B63" s="10">
        <v>39497.0</v>
      </c>
      <c r="C63" s="10">
        <f t="shared" si="1"/>
        <v>395564</v>
      </c>
      <c r="D63" s="8"/>
      <c r="E63" s="6">
        <f t="shared" si="2"/>
        <v>0</v>
      </c>
      <c r="G63" s="9">
        <f t="shared" si="3"/>
        <v>0</v>
      </c>
      <c r="H63" s="8"/>
      <c r="I63" s="6">
        <f t="shared" si="4"/>
        <v>0</v>
      </c>
      <c r="K63" s="9">
        <f t="shared" si="5"/>
        <v>0</v>
      </c>
      <c r="L63" s="8"/>
      <c r="M63" s="6">
        <f t="shared" si="6"/>
        <v>0</v>
      </c>
      <c r="O63" s="9">
        <f t="shared" si="7"/>
        <v>0</v>
      </c>
      <c r="P63" s="8"/>
      <c r="Q63" s="6">
        <f t="shared" si="8"/>
        <v>0</v>
      </c>
      <c r="S63" s="9">
        <f t="shared" si="9"/>
        <v>0</v>
      </c>
    </row>
    <row r="64" ht="14.25" customHeight="1">
      <c r="A64" s="1">
        <f t="shared" si="10"/>
        <v>63</v>
      </c>
      <c r="B64" s="10">
        <v>43847.0</v>
      </c>
      <c r="C64" s="10">
        <f t="shared" si="1"/>
        <v>439411</v>
      </c>
      <c r="D64" s="8"/>
      <c r="E64" s="6">
        <f t="shared" si="2"/>
        <v>0</v>
      </c>
      <c r="G64" s="9">
        <f t="shared" si="3"/>
        <v>0</v>
      </c>
      <c r="H64" s="8"/>
      <c r="I64" s="6">
        <f t="shared" si="4"/>
        <v>0</v>
      </c>
      <c r="K64" s="9">
        <f t="shared" si="5"/>
        <v>0</v>
      </c>
      <c r="L64" s="8"/>
      <c r="M64" s="6">
        <f t="shared" si="6"/>
        <v>0</v>
      </c>
      <c r="O64" s="9">
        <f t="shared" si="7"/>
        <v>0</v>
      </c>
      <c r="P64" s="8"/>
      <c r="Q64" s="6">
        <f t="shared" si="8"/>
        <v>0</v>
      </c>
      <c r="S64" s="9">
        <f t="shared" si="9"/>
        <v>0</v>
      </c>
    </row>
    <row r="65" ht="14.25" customHeight="1">
      <c r="A65" s="1">
        <f t="shared" si="10"/>
        <v>64</v>
      </c>
      <c r="B65" s="10">
        <v>48675.0</v>
      </c>
      <c r="C65" s="10">
        <f t="shared" si="1"/>
        <v>488086</v>
      </c>
      <c r="D65" s="8"/>
      <c r="E65" s="6">
        <f t="shared" si="2"/>
        <v>0</v>
      </c>
      <c r="G65" s="9">
        <f t="shared" si="3"/>
        <v>0</v>
      </c>
      <c r="H65" s="8"/>
      <c r="I65" s="6">
        <f t="shared" si="4"/>
        <v>0</v>
      </c>
      <c r="K65" s="9">
        <f t="shared" si="5"/>
        <v>0</v>
      </c>
      <c r="L65" s="8"/>
      <c r="M65" s="6">
        <f t="shared" si="6"/>
        <v>0</v>
      </c>
      <c r="O65" s="9">
        <f t="shared" si="7"/>
        <v>0</v>
      </c>
      <c r="P65" s="8"/>
      <c r="Q65" s="6">
        <f t="shared" si="8"/>
        <v>0</v>
      </c>
      <c r="S65" s="9">
        <f t="shared" si="9"/>
        <v>0</v>
      </c>
    </row>
    <row r="66" ht="14.25" customHeight="1">
      <c r="A66" s="1">
        <f t="shared" si="10"/>
        <v>65</v>
      </c>
      <c r="B66" s="10">
        <v>54034.0</v>
      </c>
      <c r="C66" s="10">
        <f t="shared" si="1"/>
        <v>542120</v>
      </c>
      <c r="D66" s="8"/>
      <c r="E66" s="6">
        <f t="shared" si="2"/>
        <v>0</v>
      </c>
      <c r="G66" s="9">
        <f t="shared" si="3"/>
        <v>0</v>
      </c>
      <c r="H66" s="8"/>
      <c r="I66" s="6">
        <f t="shared" si="4"/>
        <v>0</v>
      </c>
      <c r="K66" s="9">
        <f t="shared" si="5"/>
        <v>0</v>
      </c>
      <c r="L66" s="8"/>
      <c r="M66" s="6">
        <f t="shared" si="6"/>
        <v>0</v>
      </c>
      <c r="O66" s="9">
        <f t="shared" si="7"/>
        <v>0</v>
      </c>
      <c r="P66" s="8"/>
      <c r="Q66" s="6">
        <f t="shared" si="8"/>
        <v>0</v>
      </c>
      <c r="S66" s="9">
        <f t="shared" si="9"/>
        <v>0</v>
      </c>
    </row>
    <row r="67" ht="14.25" customHeight="1">
      <c r="A67" s="1">
        <f t="shared" si="10"/>
        <v>66</v>
      </c>
      <c r="B67" s="10">
        <v>59983.0</v>
      </c>
      <c r="C67" s="10">
        <f t="shared" si="1"/>
        <v>602103</v>
      </c>
      <c r="D67" s="8"/>
      <c r="E67" s="6">
        <f t="shared" si="2"/>
        <v>0</v>
      </c>
      <c r="G67" s="9">
        <f t="shared" si="3"/>
        <v>0</v>
      </c>
      <c r="H67" s="8"/>
      <c r="I67" s="6">
        <f t="shared" si="4"/>
        <v>0</v>
      </c>
      <c r="K67" s="9">
        <f t="shared" si="5"/>
        <v>0</v>
      </c>
      <c r="L67" s="8"/>
      <c r="M67" s="6">
        <f t="shared" si="6"/>
        <v>0</v>
      </c>
      <c r="O67" s="9">
        <f t="shared" si="7"/>
        <v>0</v>
      </c>
      <c r="P67" s="8"/>
      <c r="Q67" s="6">
        <f t="shared" si="8"/>
        <v>0</v>
      </c>
      <c r="S67" s="9">
        <f t="shared" si="9"/>
        <v>0</v>
      </c>
    </row>
    <row r="68" ht="14.25" customHeight="1">
      <c r="A68" s="1">
        <f t="shared" si="10"/>
        <v>67</v>
      </c>
      <c r="B68" s="10">
        <v>66586.0</v>
      </c>
      <c r="C68" s="10">
        <f t="shared" si="1"/>
        <v>668689</v>
      </c>
      <c r="D68" s="8"/>
      <c r="E68" s="6">
        <f t="shared" si="2"/>
        <v>0</v>
      </c>
      <c r="G68" s="9">
        <f t="shared" si="3"/>
        <v>0</v>
      </c>
      <c r="H68" s="8"/>
      <c r="I68" s="6">
        <f t="shared" si="4"/>
        <v>0</v>
      </c>
      <c r="K68" s="9">
        <f t="shared" si="5"/>
        <v>0</v>
      </c>
      <c r="L68" s="8"/>
      <c r="M68" s="6">
        <f t="shared" si="6"/>
        <v>0</v>
      </c>
      <c r="O68" s="9">
        <f t="shared" si="7"/>
        <v>0</v>
      </c>
      <c r="P68" s="8"/>
      <c r="Q68" s="6">
        <f t="shared" si="8"/>
        <v>0</v>
      </c>
      <c r="S68" s="9">
        <f t="shared" si="9"/>
        <v>0</v>
      </c>
    </row>
    <row r="69" ht="14.25" customHeight="1">
      <c r="A69" s="1">
        <f t="shared" si="10"/>
        <v>68</v>
      </c>
      <c r="B69" s="10">
        <v>73915.0</v>
      </c>
      <c r="C69" s="10">
        <f t="shared" si="1"/>
        <v>742604</v>
      </c>
      <c r="D69" s="8"/>
      <c r="E69" s="6">
        <f t="shared" si="2"/>
        <v>0</v>
      </c>
      <c r="G69" s="9">
        <f t="shared" si="3"/>
        <v>0</v>
      </c>
      <c r="H69" s="8"/>
      <c r="I69" s="6">
        <f t="shared" si="4"/>
        <v>0</v>
      </c>
      <c r="K69" s="9">
        <f t="shared" si="5"/>
        <v>0</v>
      </c>
      <c r="L69" s="8"/>
      <c r="M69" s="6">
        <f t="shared" si="6"/>
        <v>0</v>
      </c>
      <c r="O69" s="9">
        <f t="shared" si="7"/>
        <v>0</v>
      </c>
      <c r="P69" s="8"/>
      <c r="Q69" s="6">
        <f t="shared" si="8"/>
        <v>0</v>
      </c>
      <c r="S69" s="9">
        <f t="shared" si="9"/>
        <v>0</v>
      </c>
    </row>
    <row r="70" ht="14.25" customHeight="1">
      <c r="A70" s="1">
        <f t="shared" si="10"/>
        <v>69</v>
      </c>
      <c r="B70" s="10">
        <v>82051.0</v>
      </c>
      <c r="C70" s="10">
        <f t="shared" si="1"/>
        <v>824655</v>
      </c>
      <c r="D70" s="8"/>
      <c r="E70" s="6">
        <f t="shared" si="2"/>
        <v>0</v>
      </c>
      <c r="G70" s="9">
        <f t="shared" si="3"/>
        <v>0</v>
      </c>
      <c r="H70" s="8"/>
      <c r="I70" s="6">
        <f t="shared" si="4"/>
        <v>0</v>
      </c>
      <c r="K70" s="9">
        <f t="shared" si="5"/>
        <v>0</v>
      </c>
      <c r="L70" s="8"/>
      <c r="M70" s="6">
        <f t="shared" si="6"/>
        <v>0</v>
      </c>
      <c r="O70" s="9">
        <f t="shared" si="7"/>
        <v>0</v>
      </c>
      <c r="P70" s="8"/>
      <c r="Q70" s="6">
        <f t="shared" si="8"/>
        <v>0</v>
      </c>
      <c r="S70" s="9">
        <f t="shared" si="9"/>
        <v>0</v>
      </c>
    </row>
    <row r="71" ht="14.25" customHeight="1">
      <c r="A71" s="1">
        <f t="shared" si="10"/>
        <v>70</v>
      </c>
      <c r="B71" s="10">
        <v>91082.0</v>
      </c>
      <c r="C71" s="10">
        <f t="shared" si="1"/>
        <v>915737</v>
      </c>
      <c r="D71" s="8"/>
      <c r="E71" s="6">
        <f t="shared" si="2"/>
        <v>0</v>
      </c>
      <c r="G71" s="9">
        <f t="shared" si="3"/>
        <v>0</v>
      </c>
      <c r="H71" s="8"/>
      <c r="I71" s="6">
        <f t="shared" si="4"/>
        <v>0</v>
      </c>
      <c r="K71" s="9">
        <f t="shared" si="5"/>
        <v>0</v>
      </c>
      <c r="L71" s="8"/>
      <c r="M71" s="6">
        <f t="shared" si="6"/>
        <v>0</v>
      </c>
      <c r="O71" s="9">
        <f t="shared" si="7"/>
        <v>0</v>
      </c>
      <c r="P71" s="8"/>
      <c r="Q71" s="6">
        <f t="shared" si="8"/>
        <v>0</v>
      </c>
      <c r="S71" s="9">
        <f t="shared" si="9"/>
        <v>0</v>
      </c>
    </row>
    <row r="72" ht="14.25" customHeight="1">
      <c r="A72" s="1">
        <f t="shared" si="10"/>
        <v>71</v>
      </c>
      <c r="B72" s="10">
        <v>101106.0</v>
      </c>
      <c r="C72" s="10">
        <f t="shared" si="1"/>
        <v>1016843</v>
      </c>
      <c r="D72" s="8"/>
      <c r="E72" s="11">
        <f t="shared" si="2"/>
        <v>0</v>
      </c>
      <c r="G72" s="11">
        <f t="shared" si="3"/>
        <v>0</v>
      </c>
      <c r="H72" s="8"/>
      <c r="I72" s="11">
        <f t="shared" si="4"/>
        <v>0</v>
      </c>
      <c r="K72" s="11">
        <f t="shared" si="5"/>
        <v>0</v>
      </c>
      <c r="L72" s="8"/>
      <c r="M72" s="11">
        <f t="shared" si="6"/>
        <v>0</v>
      </c>
      <c r="O72" s="11">
        <f t="shared" si="7"/>
        <v>0</v>
      </c>
      <c r="P72" s="8"/>
      <c r="Q72" s="11">
        <f t="shared" si="8"/>
        <v>0</v>
      </c>
      <c r="S72" s="11">
        <f t="shared" si="9"/>
        <v>0</v>
      </c>
    </row>
    <row r="73" ht="14.25" customHeight="1">
      <c r="A73" s="1">
        <f t="shared" si="10"/>
        <v>72</v>
      </c>
      <c r="B73" s="10">
        <v>112232.0</v>
      </c>
      <c r="C73" s="10">
        <f t="shared" si="1"/>
        <v>1129075</v>
      </c>
      <c r="D73" s="8"/>
      <c r="E73" s="11">
        <f t="shared" si="2"/>
        <v>0</v>
      </c>
      <c r="G73" s="11">
        <f t="shared" si="3"/>
        <v>0</v>
      </c>
      <c r="H73" s="8"/>
      <c r="I73" s="11">
        <f t="shared" si="4"/>
        <v>0</v>
      </c>
      <c r="K73" s="11">
        <f t="shared" si="5"/>
        <v>0</v>
      </c>
      <c r="L73" s="8"/>
      <c r="M73" s="11">
        <f t="shared" si="6"/>
        <v>0</v>
      </c>
      <c r="O73" s="11">
        <f t="shared" si="7"/>
        <v>0</v>
      </c>
      <c r="P73" s="8"/>
      <c r="Q73" s="11">
        <f t="shared" si="8"/>
        <v>0</v>
      </c>
      <c r="S73" s="11">
        <f t="shared" si="9"/>
        <v>0</v>
      </c>
    </row>
    <row r="74" ht="14.25" customHeight="1">
      <c r="A74" s="1">
        <f t="shared" si="10"/>
        <v>73</v>
      </c>
      <c r="B74" s="10">
        <v>124583.0</v>
      </c>
      <c r="C74" s="10">
        <f t="shared" si="1"/>
        <v>1253658</v>
      </c>
      <c r="D74" s="8"/>
      <c r="E74" s="11">
        <f t="shared" si="2"/>
        <v>0</v>
      </c>
      <c r="G74" s="11">
        <f t="shared" si="3"/>
        <v>0</v>
      </c>
      <c r="H74" s="8"/>
      <c r="I74" s="11">
        <f t="shared" si="4"/>
        <v>0</v>
      </c>
      <c r="K74" s="11">
        <f t="shared" si="5"/>
        <v>0</v>
      </c>
      <c r="L74" s="8"/>
      <c r="M74" s="11">
        <f t="shared" si="6"/>
        <v>0</v>
      </c>
      <c r="O74" s="11">
        <f t="shared" si="7"/>
        <v>0</v>
      </c>
      <c r="P74" s="8"/>
      <c r="Q74" s="11">
        <f t="shared" si="8"/>
        <v>0</v>
      </c>
      <c r="S74" s="11">
        <f t="shared" si="9"/>
        <v>0</v>
      </c>
    </row>
    <row r="75" ht="14.25" customHeight="1">
      <c r="A75" s="1">
        <f t="shared" si="10"/>
        <v>74</v>
      </c>
      <c r="B75" s="10">
        <v>138292.0</v>
      </c>
      <c r="C75" s="10">
        <f t="shared" si="1"/>
        <v>1391950</v>
      </c>
      <c r="D75" s="8"/>
      <c r="E75" s="11">
        <f t="shared" si="2"/>
        <v>0</v>
      </c>
      <c r="G75" s="11">
        <f t="shared" si="3"/>
        <v>0</v>
      </c>
      <c r="H75" s="8"/>
      <c r="I75" s="11">
        <f t="shared" si="4"/>
        <v>0</v>
      </c>
      <c r="K75" s="11">
        <f t="shared" si="5"/>
        <v>0</v>
      </c>
      <c r="L75" s="8"/>
      <c r="M75" s="11">
        <f t="shared" si="6"/>
        <v>0</v>
      </c>
      <c r="O75" s="11">
        <f t="shared" si="7"/>
        <v>0</v>
      </c>
      <c r="P75" s="8"/>
      <c r="Q75" s="11">
        <f t="shared" si="8"/>
        <v>0</v>
      </c>
      <c r="S75" s="11">
        <f t="shared" si="9"/>
        <v>0</v>
      </c>
    </row>
    <row r="76" ht="14.25" customHeight="1">
      <c r="A76" s="1">
        <f t="shared" si="10"/>
        <v>75</v>
      </c>
      <c r="B76" s="10">
        <v>153509.0</v>
      </c>
      <c r="C76" s="10">
        <f t="shared" si="1"/>
        <v>1545459</v>
      </c>
      <c r="D76" s="8"/>
      <c r="E76" s="11">
        <f t="shared" si="2"/>
        <v>0</v>
      </c>
      <c r="G76" s="11">
        <f t="shared" si="3"/>
        <v>0</v>
      </c>
      <c r="H76" s="8"/>
      <c r="I76" s="11">
        <f t="shared" si="4"/>
        <v>0</v>
      </c>
      <c r="K76" s="11">
        <f t="shared" si="5"/>
        <v>0</v>
      </c>
      <c r="L76" s="8"/>
      <c r="M76" s="11">
        <f t="shared" si="6"/>
        <v>0</v>
      </c>
      <c r="O76" s="11">
        <f t="shared" si="7"/>
        <v>0</v>
      </c>
      <c r="P76" s="8"/>
      <c r="Q76" s="11">
        <f t="shared" si="8"/>
        <v>0</v>
      </c>
      <c r="S76" s="11">
        <f t="shared" si="9"/>
        <v>0</v>
      </c>
    </row>
    <row r="77" ht="14.25" customHeight="1">
      <c r="A77" s="1">
        <f t="shared" si="10"/>
        <v>76</v>
      </c>
      <c r="B77" s="10">
        <v>170400.0</v>
      </c>
      <c r="C77" s="10">
        <f t="shared" si="1"/>
        <v>1715859</v>
      </c>
      <c r="D77" s="8"/>
      <c r="E77" s="11">
        <f t="shared" si="2"/>
        <v>0</v>
      </c>
      <c r="G77" s="11">
        <f t="shared" si="3"/>
        <v>0</v>
      </c>
      <c r="H77" s="8"/>
      <c r="I77" s="11">
        <f t="shared" si="4"/>
        <v>0</v>
      </c>
      <c r="K77" s="11">
        <f t="shared" si="5"/>
        <v>0</v>
      </c>
      <c r="L77" s="8"/>
      <c r="M77" s="11">
        <f t="shared" si="6"/>
        <v>0</v>
      </c>
      <c r="O77" s="11">
        <f t="shared" si="7"/>
        <v>0</v>
      </c>
      <c r="P77" s="8"/>
      <c r="Q77" s="11">
        <f t="shared" si="8"/>
        <v>0</v>
      </c>
      <c r="S77" s="11">
        <f t="shared" si="9"/>
        <v>0</v>
      </c>
    </row>
    <row r="78" ht="14.25" customHeight="1">
      <c r="A78" s="1">
        <f t="shared" si="10"/>
        <v>77</v>
      </c>
      <c r="B78" s="10">
        <v>189149.0</v>
      </c>
      <c r="C78" s="10">
        <f t="shared" si="1"/>
        <v>1905008</v>
      </c>
      <c r="D78" s="8"/>
      <c r="E78" s="11">
        <f t="shared" si="2"/>
        <v>0</v>
      </c>
      <c r="G78" s="11">
        <f t="shared" si="3"/>
        <v>0</v>
      </c>
      <c r="H78" s="8"/>
      <c r="I78" s="11">
        <f t="shared" si="4"/>
        <v>0</v>
      </c>
      <c r="K78" s="11">
        <f t="shared" si="5"/>
        <v>0</v>
      </c>
      <c r="L78" s="8"/>
      <c r="M78" s="11">
        <f t="shared" si="6"/>
        <v>0</v>
      </c>
      <c r="O78" s="11">
        <f t="shared" si="7"/>
        <v>0</v>
      </c>
      <c r="P78" s="8"/>
      <c r="Q78" s="11">
        <f t="shared" si="8"/>
        <v>0</v>
      </c>
      <c r="S78" s="11">
        <f t="shared" si="9"/>
        <v>0</v>
      </c>
    </row>
    <row r="79" ht="14.25" customHeight="1">
      <c r="A79" s="1">
        <f t="shared" si="10"/>
        <v>78</v>
      </c>
      <c r="B79" s="10">
        <v>209961.0</v>
      </c>
      <c r="C79" s="10">
        <f t="shared" si="1"/>
        <v>2114969</v>
      </c>
      <c r="D79" s="8"/>
      <c r="E79" s="11">
        <f t="shared" si="2"/>
        <v>0</v>
      </c>
      <c r="G79" s="11">
        <f t="shared" si="3"/>
        <v>0</v>
      </c>
      <c r="H79" s="8"/>
      <c r="I79" s="11">
        <f t="shared" si="4"/>
        <v>0</v>
      </c>
      <c r="K79" s="11">
        <f t="shared" si="5"/>
        <v>0</v>
      </c>
      <c r="L79" s="8"/>
      <c r="M79" s="11">
        <f t="shared" si="6"/>
        <v>0</v>
      </c>
      <c r="O79" s="11">
        <f t="shared" si="7"/>
        <v>0</v>
      </c>
      <c r="P79" s="8"/>
      <c r="Q79" s="11">
        <f t="shared" si="8"/>
        <v>0</v>
      </c>
      <c r="S79" s="11">
        <f t="shared" si="9"/>
        <v>0</v>
      </c>
    </row>
    <row r="80" ht="14.25" customHeight="1">
      <c r="A80" s="1">
        <f t="shared" si="10"/>
        <v>79</v>
      </c>
      <c r="B80" s="10">
        <v>233061.0</v>
      </c>
      <c r="C80" s="10">
        <f t="shared" si="1"/>
        <v>2348030</v>
      </c>
      <c r="D80" s="8"/>
      <c r="E80" s="11">
        <f t="shared" si="2"/>
        <v>0</v>
      </c>
      <c r="G80" s="11">
        <f t="shared" si="3"/>
        <v>0</v>
      </c>
      <c r="H80" s="8"/>
      <c r="I80" s="11">
        <f t="shared" si="4"/>
        <v>0</v>
      </c>
      <c r="K80" s="11">
        <f t="shared" si="5"/>
        <v>0</v>
      </c>
      <c r="L80" s="8"/>
      <c r="M80" s="11">
        <f t="shared" si="6"/>
        <v>0</v>
      </c>
      <c r="O80" s="11">
        <f t="shared" si="7"/>
        <v>0</v>
      </c>
      <c r="P80" s="8"/>
      <c r="Q80" s="11">
        <f t="shared" si="8"/>
        <v>0</v>
      </c>
      <c r="S80" s="11">
        <f t="shared" si="9"/>
        <v>0</v>
      </c>
    </row>
    <row r="81" ht="14.25" customHeight="1">
      <c r="A81" s="1">
        <f t="shared" si="10"/>
        <v>80</v>
      </c>
      <c r="B81" s="10">
        <v>258703.0</v>
      </c>
      <c r="C81" s="10">
        <f t="shared" si="1"/>
        <v>2606733</v>
      </c>
      <c r="D81" s="8"/>
      <c r="E81" s="11">
        <f t="shared" si="2"/>
        <v>0</v>
      </c>
      <c r="G81" s="11">
        <f t="shared" si="3"/>
        <v>0</v>
      </c>
      <c r="H81" s="8"/>
      <c r="I81" s="11">
        <f t="shared" si="4"/>
        <v>0</v>
      </c>
      <c r="K81" s="11">
        <f t="shared" si="5"/>
        <v>0</v>
      </c>
      <c r="L81" s="8"/>
      <c r="M81" s="11">
        <f t="shared" si="6"/>
        <v>0</v>
      </c>
      <c r="O81" s="11">
        <f t="shared" si="7"/>
        <v>0</v>
      </c>
      <c r="P81" s="8"/>
      <c r="Q81" s="11">
        <f t="shared" si="8"/>
        <v>0</v>
      </c>
      <c r="S81" s="11">
        <f t="shared" si="9"/>
        <v>0</v>
      </c>
    </row>
    <row r="82" ht="14.25" customHeight="1">
      <c r="A82" s="1">
        <f t="shared" si="10"/>
        <v>81</v>
      </c>
      <c r="B82" s="10">
        <v>287165.0</v>
      </c>
      <c r="C82" s="10">
        <f t="shared" si="1"/>
        <v>2893898</v>
      </c>
      <c r="D82" s="8"/>
      <c r="E82" s="11">
        <f t="shared" si="2"/>
        <v>0</v>
      </c>
      <c r="G82" s="11">
        <f t="shared" si="3"/>
        <v>0</v>
      </c>
      <c r="H82" s="8"/>
      <c r="I82" s="11">
        <f t="shared" si="4"/>
        <v>0</v>
      </c>
      <c r="K82" s="11">
        <f t="shared" si="5"/>
        <v>0</v>
      </c>
      <c r="L82" s="8"/>
      <c r="M82" s="11">
        <f t="shared" si="6"/>
        <v>0</v>
      </c>
      <c r="O82" s="11">
        <f t="shared" si="7"/>
        <v>0</v>
      </c>
      <c r="P82" s="8"/>
      <c r="Q82" s="11">
        <f t="shared" si="8"/>
        <v>0</v>
      </c>
      <c r="S82" s="11">
        <f t="shared" si="9"/>
        <v>0</v>
      </c>
    </row>
    <row r="83" ht="14.25" customHeight="1">
      <c r="A83" s="1">
        <f t="shared" si="10"/>
        <v>82</v>
      </c>
      <c r="B83" s="10">
        <v>318759.0</v>
      </c>
      <c r="C83" s="10">
        <f t="shared" si="1"/>
        <v>3212657</v>
      </c>
      <c r="D83" s="8"/>
      <c r="E83" s="11">
        <f t="shared" si="2"/>
        <v>0</v>
      </c>
      <c r="G83" s="11">
        <f t="shared" si="3"/>
        <v>0</v>
      </c>
      <c r="H83" s="8"/>
      <c r="I83" s="11">
        <f t="shared" si="4"/>
        <v>0</v>
      </c>
      <c r="K83" s="11">
        <f t="shared" si="5"/>
        <v>0</v>
      </c>
      <c r="L83" s="8"/>
      <c r="M83" s="11">
        <f t="shared" si="6"/>
        <v>0</v>
      </c>
      <c r="O83" s="11">
        <f t="shared" si="7"/>
        <v>0</v>
      </c>
      <c r="P83" s="8"/>
      <c r="Q83" s="11">
        <f t="shared" si="8"/>
        <v>0</v>
      </c>
      <c r="S83" s="11">
        <f t="shared" si="9"/>
        <v>0</v>
      </c>
    </row>
    <row r="84" ht="14.25" customHeight="1">
      <c r="A84" s="1">
        <f t="shared" si="10"/>
        <v>83</v>
      </c>
      <c r="B84" s="10">
        <v>353827.0</v>
      </c>
      <c r="C84" s="10">
        <f t="shared" si="1"/>
        <v>3566484</v>
      </c>
      <c r="D84" s="8"/>
      <c r="E84" s="11">
        <f t="shared" si="2"/>
        <v>0</v>
      </c>
      <c r="G84" s="11">
        <f t="shared" si="3"/>
        <v>0</v>
      </c>
      <c r="H84" s="8"/>
      <c r="I84" s="11">
        <f t="shared" si="4"/>
        <v>0</v>
      </c>
      <c r="K84" s="11">
        <f t="shared" si="5"/>
        <v>0</v>
      </c>
      <c r="L84" s="8"/>
      <c r="M84" s="11">
        <f t="shared" si="6"/>
        <v>0</v>
      </c>
      <c r="O84" s="11">
        <f t="shared" si="7"/>
        <v>0</v>
      </c>
      <c r="P84" s="8"/>
      <c r="Q84" s="11">
        <f t="shared" si="8"/>
        <v>0</v>
      </c>
      <c r="S84" s="11">
        <f t="shared" si="9"/>
        <v>0</v>
      </c>
    </row>
    <row r="85" ht="14.25" customHeight="1">
      <c r="A85" s="1">
        <f t="shared" si="10"/>
        <v>84</v>
      </c>
      <c r="B85" s="10">
        <v>392753.0</v>
      </c>
      <c r="C85" s="10">
        <f t="shared" si="1"/>
        <v>3959237</v>
      </c>
      <c r="D85" s="8"/>
      <c r="E85" s="11">
        <f t="shared" si="2"/>
        <v>0</v>
      </c>
      <c r="G85" s="11">
        <f t="shared" si="3"/>
        <v>0</v>
      </c>
      <c r="H85" s="8"/>
      <c r="I85" s="11">
        <f t="shared" si="4"/>
        <v>0</v>
      </c>
      <c r="K85" s="11">
        <f t="shared" si="5"/>
        <v>0</v>
      </c>
      <c r="L85" s="8"/>
      <c r="M85" s="11">
        <f t="shared" si="6"/>
        <v>0</v>
      </c>
      <c r="O85" s="11">
        <f t="shared" si="7"/>
        <v>0</v>
      </c>
      <c r="P85" s="8"/>
      <c r="Q85" s="11">
        <f t="shared" si="8"/>
        <v>0</v>
      </c>
      <c r="S85" s="11">
        <f t="shared" si="9"/>
        <v>0</v>
      </c>
    </row>
    <row r="86" ht="14.25" customHeight="1">
      <c r="A86" s="1">
        <f t="shared" si="10"/>
        <v>85</v>
      </c>
      <c r="B86" s="10">
        <v>435961.0</v>
      </c>
      <c r="C86" s="10">
        <f t="shared" si="1"/>
        <v>4395198</v>
      </c>
      <c r="D86" s="8"/>
      <c r="E86" s="11">
        <f t="shared" si="2"/>
        <v>0</v>
      </c>
      <c r="G86" s="11">
        <f t="shared" si="3"/>
        <v>0</v>
      </c>
      <c r="H86" s="8"/>
      <c r="I86" s="11">
        <f t="shared" si="4"/>
        <v>0</v>
      </c>
      <c r="K86" s="11">
        <f t="shared" si="5"/>
        <v>0</v>
      </c>
      <c r="L86" s="8"/>
      <c r="M86" s="11">
        <f t="shared" si="6"/>
        <v>0</v>
      </c>
      <c r="O86" s="11">
        <f t="shared" si="7"/>
        <v>0</v>
      </c>
      <c r="P86" s="8"/>
      <c r="Q86" s="11">
        <f t="shared" si="8"/>
        <v>0</v>
      </c>
      <c r="S86" s="11">
        <f t="shared" si="9"/>
        <v>0</v>
      </c>
    </row>
    <row r="87" ht="14.25" customHeight="1">
      <c r="A87" s="1">
        <f t="shared" si="10"/>
        <v>86</v>
      </c>
      <c r="B87" s="10">
        <v>483921.0</v>
      </c>
      <c r="C87" s="10">
        <f t="shared" si="1"/>
        <v>4879119</v>
      </c>
      <c r="D87" s="8"/>
      <c r="E87" s="11">
        <f t="shared" si="2"/>
        <v>0</v>
      </c>
      <c r="G87" s="11">
        <f t="shared" si="3"/>
        <v>0</v>
      </c>
      <c r="H87" s="8"/>
      <c r="I87" s="11">
        <f t="shared" si="4"/>
        <v>0</v>
      </c>
      <c r="K87" s="11">
        <f t="shared" si="5"/>
        <v>0</v>
      </c>
      <c r="L87" s="8"/>
      <c r="M87" s="11">
        <f t="shared" si="6"/>
        <v>0</v>
      </c>
      <c r="O87" s="11">
        <f t="shared" si="7"/>
        <v>0</v>
      </c>
      <c r="P87" s="8"/>
      <c r="Q87" s="11">
        <f t="shared" si="8"/>
        <v>0</v>
      </c>
      <c r="S87" s="11">
        <f t="shared" si="9"/>
        <v>0</v>
      </c>
    </row>
    <row r="88" ht="14.25" customHeight="1">
      <c r="A88" s="1">
        <f t="shared" si="10"/>
        <v>87</v>
      </c>
      <c r="B88" s="10">
        <v>537158.0</v>
      </c>
      <c r="C88" s="10">
        <f t="shared" si="1"/>
        <v>5416277</v>
      </c>
      <c r="D88" s="8"/>
      <c r="E88" s="11">
        <f t="shared" si="2"/>
        <v>0</v>
      </c>
      <c r="G88" s="11">
        <f t="shared" si="3"/>
        <v>0</v>
      </c>
      <c r="H88" s="8"/>
      <c r="I88" s="11">
        <f t="shared" si="4"/>
        <v>0</v>
      </c>
      <c r="K88" s="11">
        <f t="shared" si="5"/>
        <v>0</v>
      </c>
      <c r="L88" s="8"/>
      <c r="M88" s="11">
        <f t="shared" si="6"/>
        <v>0</v>
      </c>
      <c r="O88" s="11">
        <f t="shared" si="7"/>
        <v>0</v>
      </c>
      <c r="P88" s="8"/>
      <c r="Q88" s="11">
        <f t="shared" si="8"/>
        <v>0</v>
      </c>
      <c r="S88" s="11">
        <f t="shared" si="9"/>
        <v>0</v>
      </c>
    </row>
    <row r="89" ht="14.25" customHeight="1">
      <c r="A89" s="1">
        <f t="shared" si="10"/>
        <v>88</v>
      </c>
      <c r="B89" s="10">
        <v>596250.0</v>
      </c>
      <c r="C89" s="10">
        <f t="shared" si="1"/>
        <v>6012527</v>
      </c>
      <c r="D89" s="8"/>
      <c r="E89" s="11">
        <f t="shared" si="2"/>
        <v>0</v>
      </c>
      <c r="G89" s="11">
        <f t="shared" si="3"/>
        <v>0</v>
      </c>
      <c r="H89" s="8"/>
      <c r="I89" s="11">
        <f t="shared" si="4"/>
        <v>0</v>
      </c>
      <c r="K89" s="11">
        <f t="shared" si="5"/>
        <v>0</v>
      </c>
      <c r="L89" s="8"/>
      <c r="M89" s="11">
        <f t="shared" si="6"/>
        <v>0</v>
      </c>
      <c r="O89" s="11">
        <f t="shared" si="7"/>
        <v>0</v>
      </c>
      <c r="P89" s="8"/>
      <c r="Q89" s="11">
        <f t="shared" si="8"/>
        <v>0</v>
      </c>
      <c r="S89" s="11">
        <f t="shared" si="9"/>
        <v>0</v>
      </c>
    </row>
    <row r="90" ht="14.25" customHeight="1">
      <c r="A90" s="1">
        <f t="shared" si="10"/>
        <v>89</v>
      </c>
      <c r="B90" s="10">
        <v>661843.0</v>
      </c>
      <c r="C90" s="10">
        <f t="shared" si="1"/>
        <v>6674370</v>
      </c>
      <c r="D90" s="8"/>
      <c r="E90" s="11">
        <f t="shared" si="2"/>
        <v>0</v>
      </c>
      <c r="G90" s="11">
        <f t="shared" si="3"/>
        <v>0</v>
      </c>
      <c r="H90" s="8"/>
      <c r="I90" s="11">
        <f t="shared" si="4"/>
        <v>0</v>
      </c>
      <c r="K90" s="11">
        <f t="shared" si="5"/>
        <v>0</v>
      </c>
      <c r="L90" s="8"/>
      <c r="M90" s="11">
        <f t="shared" si="6"/>
        <v>0</v>
      </c>
      <c r="O90" s="11">
        <f t="shared" si="7"/>
        <v>0</v>
      </c>
      <c r="P90" s="8"/>
      <c r="Q90" s="11">
        <f t="shared" si="8"/>
        <v>0</v>
      </c>
      <c r="S90" s="11">
        <f t="shared" si="9"/>
        <v>0</v>
      </c>
    </row>
    <row r="91" ht="14.25" customHeight="1">
      <c r="A91" s="1">
        <f t="shared" si="10"/>
        <v>90</v>
      </c>
      <c r="B91" s="10">
        <v>734650.0</v>
      </c>
      <c r="C91" s="10">
        <f t="shared" si="1"/>
        <v>7409020</v>
      </c>
      <c r="D91" s="8"/>
      <c r="E91" s="11">
        <f t="shared" si="2"/>
        <v>0</v>
      </c>
      <c r="G91" s="11">
        <f t="shared" si="3"/>
        <v>0</v>
      </c>
      <c r="H91" s="8"/>
      <c r="I91" s="11">
        <f t="shared" si="4"/>
        <v>0</v>
      </c>
      <c r="K91" s="11">
        <f t="shared" si="5"/>
        <v>0</v>
      </c>
      <c r="L91" s="8"/>
      <c r="M91" s="11">
        <f t="shared" si="6"/>
        <v>0</v>
      </c>
      <c r="O91" s="11">
        <f t="shared" si="7"/>
        <v>0</v>
      </c>
      <c r="P91" s="8"/>
      <c r="Q91" s="11">
        <f t="shared" si="8"/>
        <v>0</v>
      </c>
      <c r="S91" s="11">
        <f t="shared" si="9"/>
        <v>0</v>
      </c>
    </row>
    <row r="92" ht="14.25" customHeight="1">
      <c r="A92" s="1">
        <f t="shared" si="10"/>
        <v>91</v>
      </c>
      <c r="B92" s="10">
        <v>815467.0</v>
      </c>
      <c r="C92" s="10">
        <f t="shared" si="1"/>
        <v>8224487</v>
      </c>
      <c r="D92" s="8"/>
      <c r="E92" s="11">
        <f t="shared" si="2"/>
        <v>0</v>
      </c>
      <c r="G92" s="11">
        <f t="shared" si="3"/>
        <v>0</v>
      </c>
      <c r="H92" s="8"/>
      <c r="I92" s="11">
        <f t="shared" si="4"/>
        <v>0</v>
      </c>
      <c r="K92" s="11">
        <f t="shared" si="5"/>
        <v>0</v>
      </c>
      <c r="L92" s="8"/>
      <c r="M92" s="11">
        <f t="shared" si="6"/>
        <v>0</v>
      </c>
      <c r="O92" s="11">
        <f t="shared" si="7"/>
        <v>0</v>
      </c>
      <c r="P92" s="8"/>
      <c r="Q92" s="11">
        <f t="shared" si="8"/>
        <v>0</v>
      </c>
      <c r="S92" s="11">
        <f t="shared" si="9"/>
        <v>0</v>
      </c>
    </row>
    <row r="93" ht="14.25" customHeight="1">
      <c r="A93" s="1">
        <f t="shared" si="10"/>
        <v>92</v>
      </c>
      <c r="B93" s="10">
        <v>905173.0</v>
      </c>
      <c r="C93" s="10">
        <f t="shared" si="1"/>
        <v>9129660</v>
      </c>
      <c r="D93" s="8"/>
      <c r="E93" s="11">
        <f t="shared" si="2"/>
        <v>0</v>
      </c>
      <c r="G93" s="11">
        <f t="shared" si="3"/>
        <v>0</v>
      </c>
      <c r="H93" s="8"/>
      <c r="I93" s="11">
        <f t="shared" si="4"/>
        <v>0</v>
      </c>
      <c r="K93" s="11">
        <f t="shared" si="5"/>
        <v>0</v>
      </c>
      <c r="L93" s="8"/>
      <c r="M93" s="11">
        <f t="shared" si="6"/>
        <v>0</v>
      </c>
      <c r="O93" s="11">
        <f t="shared" si="7"/>
        <v>0</v>
      </c>
      <c r="P93" s="8"/>
      <c r="Q93" s="11">
        <f t="shared" si="8"/>
        <v>0</v>
      </c>
      <c r="S93" s="11">
        <f t="shared" si="9"/>
        <v>0</v>
      </c>
    </row>
    <row r="94" ht="14.25" customHeight="1">
      <c r="A94" s="1">
        <f t="shared" si="10"/>
        <v>93</v>
      </c>
      <c r="B94" s="10">
        <v>1004747.0</v>
      </c>
      <c r="C94" s="10">
        <f t="shared" si="1"/>
        <v>10134407</v>
      </c>
      <c r="D94" s="8"/>
      <c r="E94" s="11">
        <f t="shared" si="2"/>
        <v>0</v>
      </c>
      <c r="G94" s="11">
        <f t="shared" si="3"/>
        <v>0</v>
      </c>
      <c r="H94" s="8"/>
      <c r="I94" s="11">
        <f t="shared" si="4"/>
        <v>0</v>
      </c>
      <c r="K94" s="11">
        <f t="shared" si="5"/>
        <v>0</v>
      </c>
      <c r="L94" s="8"/>
      <c r="M94" s="11">
        <f t="shared" si="6"/>
        <v>0</v>
      </c>
      <c r="O94" s="11">
        <f t="shared" si="7"/>
        <v>0</v>
      </c>
      <c r="P94" s="8"/>
      <c r="Q94" s="11">
        <f t="shared" si="8"/>
        <v>0</v>
      </c>
      <c r="S94" s="11">
        <f t="shared" si="9"/>
        <v>0</v>
      </c>
    </row>
    <row r="95" ht="14.25" customHeight="1">
      <c r="A95" s="1">
        <f t="shared" si="10"/>
        <v>94</v>
      </c>
      <c r="B95" s="10">
        <v>1115274.0</v>
      </c>
      <c r="C95" s="10">
        <f t="shared" si="1"/>
        <v>11249681</v>
      </c>
      <c r="D95" s="8"/>
      <c r="E95" s="11">
        <f t="shared" si="2"/>
        <v>0</v>
      </c>
      <c r="G95" s="11">
        <f t="shared" si="3"/>
        <v>0</v>
      </c>
      <c r="H95" s="8"/>
      <c r="I95" s="11">
        <f t="shared" si="4"/>
        <v>0</v>
      </c>
      <c r="K95" s="11">
        <f t="shared" si="5"/>
        <v>0</v>
      </c>
      <c r="L95" s="8"/>
      <c r="M95" s="11">
        <f t="shared" si="6"/>
        <v>0</v>
      </c>
      <c r="O95" s="11">
        <f t="shared" si="7"/>
        <v>0</v>
      </c>
      <c r="P95" s="8"/>
      <c r="Q95" s="11">
        <f t="shared" si="8"/>
        <v>0</v>
      </c>
      <c r="S95" s="11">
        <f t="shared" si="9"/>
        <v>0</v>
      </c>
    </row>
    <row r="96" ht="14.25" customHeight="1">
      <c r="A96" s="1">
        <f t="shared" si="10"/>
        <v>95</v>
      </c>
      <c r="B96" s="10">
        <v>1237960.0</v>
      </c>
      <c r="C96" s="10">
        <f t="shared" si="1"/>
        <v>12487641</v>
      </c>
      <c r="D96" s="8"/>
      <c r="E96" s="11">
        <f t="shared" si="2"/>
        <v>0</v>
      </c>
      <c r="G96" s="11">
        <f t="shared" si="3"/>
        <v>0</v>
      </c>
      <c r="H96" s="8"/>
      <c r="I96" s="11">
        <f t="shared" si="4"/>
        <v>0</v>
      </c>
      <c r="K96" s="11">
        <f t="shared" si="5"/>
        <v>0</v>
      </c>
      <c r="L96" s="8"/>
      <c r="M96" s="11">
        <f t="shared" si="6"/>
        <v>0</v>
      </c>
      <c r="O96" s="11">
        <f t="shared" si="7"/>
        <v>0</v>
      </c>
      <c r="P96" s="8"/>
      <c r="Q96" s="11">
        <f t="shared" si="8"/>
        <v>0</v>
      </c>
      <c r="S96" s="11">
        <f t="shared" si="9"/>
        <v>0</v>
      </c>
    </row>
    <row r="97" ht="14.25" customHeight="1">
      <c r="A97" s="1">
        <f t="shared" si="10"/>
        <v>96</v>
      </c>
      <c r="B97" s="10">
        <v>1374140.0</v>
      </c>
      <c r="C97" s="10">
        <f t="shared" si="1"/>
        <v>13861781</v>
      </c>
      <c r="D97" s="8"/>
      <c r="E97" s="11">
        <f t="shared" si="2"/>
        <v>0</v>
      </c>
      <c r="G97" s="11">
        <f t="shared" si="3"/>
        <v>0</v>
      </c>
      <c r="H97" s="8"/>
      <c r="I97" s="11">
        <f t="shared" si="4"/>
        <v>0</v>
      </c>
      <c r="K97" s="11">
        <f t="shared" si="5"/>
        <v>0</v>
      </c>
      <c r="L97" s="8"/>
      <c r="M97" s="11">
        <f t="shared" si="6"/>
        <v>0</v>
      </c>
      <c r="O97" s="11">
        <f t="shared" si="7"/>
        <v>0</v>
      </c>
      <c r="P97" s="8"/>
      <c r="Q97" s="11">
        <f t="shared" si="8"/>
        <v>0</v>
      </c>
      <c r="S97" s="11">
        <f t="shared" si="9"/>
        <v>0</v>
      </c>
    </row>
    <row r="98" ht="14.25" customHeight="1">
      <c r="A98" s="1">
        <f t="shared" si="10"/>
        <v>97</v>
      </c>
      <c r="B98" s="10">
        <v>1525301.0</v>
      </c>
      <c r="C98" s="10">
        <f t="shared" si="1"/>
        <v>15387082</v>
      </c>
      <c r="D98" s="8"/>
      <c r="E98" s="11">
        <f t="shared" si="2"/>
        <v>0</v>
      </c>
      <c r="G98" s="11">
        <f t="shared" si="3"/>
        <v>0</v>
      </c>
      <c r="H98" s="8"/>
      <c r="I98" s="11">
        <f t="shared" si="4"/>
        <v>0</v>
      </c>
      <c r="K98" s="11">
        <f t="shared" si="5"/>
        <v>0</v>
      </c>
      <c r="L98" s="8"/>
      <c r="M98" s="11">
        <f t="shared" si="6"/>
        <v>0</v>
      </c>
      <c r="O98" s="11">
        <f t="shared" si="7"/>
        <v>0</v>
      </c>
      <c r="P98" s="8"/>
      <c r="Q98" s="11">
        <f t="shared" si="8"/>
        <v>0</v>
      </c>
      <c r="S98" s="11">
        <f t="shared" si="9"/>
        <v>0</v>
      </c>
    </row>
    <row r="99" ht="14.25" customHeight="1">
      <c r="A99" s="1">
        <f t="shared" si="10"/>
        <v>98</v>
      </c>
      <c r="B99" s="10">
        <v>1693089.0</v>
      </c>
      <c r="C99" s="10">
        <f t="shared" si="1"/>
        <v>17080171</v>
      </c>
      <c r="D99" s="8"/>
      <c r="E99" s="11">
        <f t="shared" si="2"/>
        <v>0</v>
      </c>
      <c r="G99" s="11">
        <f t="shared" si="3"/>
        <v>0</v>
      </c>
      <c r="H99" s="8"/>
      <c r="I99" s="11">
        <f t="shared" si="4"/>
        <v>0</v>
      </c>
      <c r="K99" s="11">
        <f t="shared" si="5"/>
        <v>0</v>
      </c>
      <c r="L99" s="8"/>
      <c r="M99" s="11">
        <f t="shared" si="6"/>
        <v>0</v>
      </c>
      <c r="O99" s="11">
        <f t="shared" si="7"/>
        <v>0</v>
      </c>
      <c r="P99" s="8"/>
      <c r="Q99" s="11">
        <f t="shared" si="8"/>
        <v>0</v>
      </c>
      <c r="S99" s="11">
        <f t="shared" si="9"/>
        <v>0</v>
      </c>
    </row>
    <row r="100" ht="14.25" customHeight="1">
      <c r="A100" s="1">
        <f t="shared" si="10"/>
        <v>99</v>
      </c>
      <c r="B100" s="10">
        <v>1879333.0</v>
      </c>
      <c r="C100" s="10">
        <f t="shared" si="1"/>
        <v>18959504</v>
      </c>
      <c r="D100" s="8"/>
      <c r="E100" s="11">
        <f t="shared" si="2"/>
        <v>0</v>
      </c>
      <c r="G100" s="11">
        <f t="shared" si="3"/>
        <v>0</v>
      </c>
      <c r="H100" s="8"/>
      <c r="I100" s="11">
        <f t="shared" si="4"/>
        <v>0</v>
      </c>
      <c r="K100" s="11">
        <f t="shared" si="5"/>
        <v>0</v>
      </c>
      <c r="L100" s="8"/>
      <c r="M100" s="11">
        <f t="shared" si="6"/>
        <v>0</v>
      </c>
      <c r="O100" s="11">
        <f t="shared" si="7"/>
        <v>0</v>
      </c>
      <c r="P100" s="8"/>
      <c r="Q100" s="11">
        <f t="shared" si="8"/>
        <v>0</v>
      </c>
      <c r="S100" s="11">
        <f t="shared" si="9"/>
        <v>0</v>
      </c>
    </row>
    <row r="101" ht="14.25" customHeight="1">
      <c r="A101" s="1">
        <f t="shared" si="10"/>
        <v>100</v>
      </c>
      <c r="B101" s="10">
        <v>2086065.0</v>
      </c>
      <c r="C101" s="10">
        <f t="shared" si="1"/>
        <v>21045569</v>
      </c>
      <c r="D101" s="8"/>
      <c r="E101" s="11">
        <f t="shared" si="2"/>
        <v>0</v>
      </c>
      <c r="G101" s="11">
        <f t="shared" si="3"/>
        <v>0</v>
      </c>
      <c r="H101" s="8"/>
      <c r="I101" s="11">
        <f t="shared" si="4"/>
        <v>0</v>
      </c>
      <c r="K101" s="11">
        <f t="shared" si="5"/>
        <v>0</v>
      </c>
      <c r="L101" s="8"/>
      <c r="M101" s="11">
        <f t="shared" si="6"/>
        <v>0</v>
      </c>
      <c r="O101" s="11">
        <f t="shared" si="7"/>
        <v>0</v>
      </c>
      <c r="P101" s="8"/>
      <c r="Q101" s="11">
        <f t="shared" si="8"/>
        <v>0</v>
      </c>
      <c r="S101" s="11">
        <f t="shared" si="9"/>
        <v>0</v>
      </c>
    </row>
    <row r="102" ht="14.25" customHeight="1">
      <c r="A102" s="1">
        <f t="shared" si="10"/>
        <v>101</v>
      </c>
      <c r="B102" s="10">
        <v>2315537.0</v>
      </c>
      <c r="C102" s="10">
        <f t="shared" si="1"/>
        <v>23361106</v>
      </c>
      <c r="D102" s="8"/>
      <c r="E102" s="11">
        <f t="shared" si="2"/>
        <v>0</v>
      </c>
      <c r="G102" s="11">
        <f t="shared" si="3"/>
        <v>0</v>
      </c>
      <c r="H102" s="8"/>
      <c r="I102" s="11">
        <f t="shared" si="4"/>
        <v>0</v>
      </c>
      <c r="K102" s="11">
        <f t="shared" si="5"/>
        <v>0</v>
      </c>
      <c r="L102" s="8"/>
      <c r="M102" s="11">
        <f t="shared" si="6"/>
        <v>0</v>
      </c>
      <c r="O102" s="11">
        <f t="shared" si="7"/>
        <v>0</v>
      </c>
      <c r="P102" s="8"/>
      <c r="Q102" s="11">
        <f t="shared" si="8"/>
        <v>0</v>
      </c>
      <c r="S102" s="11">
        <f t="shared" si="9"/>
        <v>0</v>
      </c>
    </row>
    <row r="103" ht="14.25" customHeight="1">
      <c r="A103" s="1">
        <f t="shared" si="10"/>
        <v>102</v>
      </c>
      <c r="B103" s="10">
        <v>2570251.0</v>
      </c>
      <c r="C103" s="10">
        <f t="shared" si="1"/>
        <v>25931357</v>
      </c>
      <c r="D103" s="8"/>
      <c r="E103" s="11">
        <f t="shared" si="2"/>
        <v>0</v>
      </c>
      <c r="G103" s="11">
        <f t="shared" si="3"/>
        <v>0</v>
      </c>
      <c r="H103" s="8"/>
      <c r="I103" s="11">
        <f t="shared" si="4"/>
        <v>0</v>
      </c>
      <c r="K103" s="11">
        <f t="shared" si="5"/>
        <v>0</v>
      </c>
      <c r="L103" s="8"/>
      <c r="M103" s="11">
        <f t="shared" si="6"/>
        <v>0</v>
      </c>
      <c r="O103" s="11">
        <f t="shared" si="7"/>
        <v>0</v>
      </c>
      <c r="P103" s="8"/>
      <c r="Q103" s="11">
        <f t="shared" si="8"/>
        <v>0</v>
      </c>
      <c r="S103" s="11">
        <f t="shared" si="9"/>
        <v>0</v>
      </c>
    </row>
    <row r="104" ht="14.25" customHeight="1">
      <c r="A104" s="1">
        <f t="shared" si="10"/>
        <v>103</v>
      </c>
      <c r="B104" s="10">
        <v>2852984.0</v>
      </c>
      <c r="C104" s="10">
        <f t="shared" si="1"/>
        <v>28784341</v>
      </c>
      <c r="D104" s="8"/>
      <c r="E104" s="11">
        <f t="shared" si="2"/>
        <v>0</v>
      </c>
      <c r="G104" s="11">
        <f t="shared" si="3"/>
        <v>0</v>
      </c>
      <c r="H104" s="4">
        <v>1.41</v>
      </c>
      <c r="I104" s="11">
        <f t="shared" si="4"/>
        <v>4465211.97</v>
      </c>
      <c r="J104" s="5">
        <v>3.0</v>
      </c>
      <c r="K104" s="11">
        <f t="shared" si="5"/>
        <v>90818234.97</v>
      </c>
      <c r="L104" s="8"/>
      <c r="M104" s="11">
        <f t="shared" si="6"/>
        <v>0</v>
      </c>
      <c r="O104" s="11">
        <f t="shared" si="7"/>
        <v>0</v>
      </c>
      <c r="P104" s="8"/>
      <c r="Q104" s="11">
        <f t="shared" si="8"/>
        <v>0</v>
      </c>
      <c r="S104" s="11">
        <f t="shared" si="9"/>
        <v>0</v>
      </c>
    </row>
    <row r="105" ht="14.25" customHeight="1">
      <c r="A105" s="1">
        <f t="shared" si="10"/>
        <v>104</v>
      </c>
      <c r="B105" s="10">
        <v>3166817.0</v>
      </c>
      <c r="C105" s="10">
        <f t="shared" si="1"/>
        <v>31951158</v>
      </c>
      <c r="D105" s="8"/>
      <c r="E105" s="11">
        <f t="shared" si="2"/>
        <v>0</v>
      </c>
      <c r="G105" s="11">
        <f t="shared" si="3"/>
        <v>0</v>
      </c>
      <c r="H105" s="4">
        <v>0.577</v>
      </c>
      <c r="I105" s="11">
        <f t="shared" si="4"/>
        <v>2028254.244</v>
      </c>
      <c r="J105" s="5">
        <v>1.0</v>
      </c>
      <c r="K105" s="11">
        <f t="shared" si="5"/>
        <v>33979412.24</v>
      </c>
      <c r="L105" s="8"/>
      <c r="M105" s="11">
        <f t="shared" si="6"/>
        <v>0</v>
      </c>
      <c r="O105" s="11">
        <f t="shared" si="7"/>
        <v>0</v>
      </c>
      <c r="P105" s="8"/>
      <c r="Q105" s="11">
        <f t="shared" si="8"/>
        <v>0</v>
      </c>
      <c r="S105" s="11">
        <f t="shared" si="9"/>
        <v>0</v>
      </c>
    </row>
    <row r="106" ht="14.25" customHeight="1">
      <c r="A106" s="1">
        <f t="shared" si="10"/>
        <v>105</v>
      </c>
      <c r="B106" s="10">
        <v>3515172.0</v>
      </c>
      <c r="C106" s="10">
        <f t="shared" si="1"/>
        <v>35466330</v>
      </c>
      <c r="D106" s="8"/>
      <c r="E106" s="11">
        <f t="shared" si="2"/>
        <v>0</v>
      </c>
      <c r="G106" s="11">
        <f t="shared" si="3"/>
        <v>0</v>
      </c>
      <c r="H106" s="8"/>
      <c r="I106" s="11">
        <f t="shared" si="4"/>
        <v>0</v>
      </c>
      <c r="K106" s="11">
        <f t="shared" si="5"/>
        <v>0</v>
      </c>
      <c r="L106" s="8"/>
      <c r="M106" s="11">
        <f t="shared" si="6"/>
        <v>0</v>
      </c>
      <c r="O106" s="11">
        <f t="shared" si="7"/>
        <v>0</v>
      </c>
      <c r="P106" s="8"/>
      <c r="Q106" s="11">
        <f t="shared" si="8"/>
        <v>0</v>
      </c>
      <c r="S106" s="11">
        <f t="shared" si="9"/>
        <v>0</v>
      </c>
    </row>
    <row r="107" ht="14.25" customHeight="1">
      <c r="A107" s="1">
        <f t="shared" si="10"/>
        <v>106</v>
      </c>
      <c r="B107" s="10">
        <v>3901846.0</v>
      </c>
      <c r="C107" s="10">
        <f t="shared" si="1"/>
        <v>39368176</v>
      </c>
      <c r="D107" s="8"/>
      <c r="E107" s="11">
        <f t="shared" si="2"/>
        <v>0</v>
      </c>
      <c r="G107" s="11">
        <f t="shared" si="3"/>
        <v>0</v>
      </c>
      <c r="H107" s="4">
        <v>0.448</v>
      </c>
      <c r="I107" s="11">
        <f t="shared" si="4"/>
        <v>1940312.192</v>
      </c>
      <c r="J107" s="5">
        <v>1.0</v>
      </c>
      <c r="K107" s="11">
        <f t="shared" si="5"/>
        <v>41308488.19</v>
      </c>
      <c r="L107" s="8"/>
      <c r="M107" s="11">
        <f t="shared" si="6"/>
        <v>0</v>
      </c>
      <c r="O107" s="11">
        <f t="shared" si="7"/>
        <v>0</v>
      </c>
      <c r="P107" s="8"/>
      <c r="Q107" s="11">
        <f t="shared" si="8"/>
        <v>0</v>
      </c>
      <c r="S107" s="11">
        <f t="shared" si="9"/>
        <v>0</v>
      </c>
    </row>
    <row r="108" ht="14.25" customHeight="1">
      <c r="A108" s="1">
        <f t="shared" si="10"/>
        <v>107</v>
      </c>
      <c r="B108" s="10">
        <v>4331054.0</v>
      </c>
      <c r="C108" s="10">
        <f t="shared" si="1"/>
        <v>43699230</v>
      </c>
      <c r="D108" s="8"/>
      <c r="E108" s="11">
        <f t="shared" si="2"/>
        <v>0</v>
      </c>
      <c r="G108" s="11">
        <f t="shared" si="3"/>
        <v>0</v>
      </c>
      <c r="H108" s="8"/>
      <c r="I108" s="11">
        <f t="shared" si="4"/>
        <v>0</v>
      </c>
      <c r="K108" s="11">
        <f t="shared" si="5"/>
        <v>0</v>
      </c>
      <c r="L108" s="8"/>
      <c r="M108" s="11">
        <f t="shared" si="6"/>
        <v>0</v>
      </c>
      <c r="O108" s="11">
        <f t="shared" si="7"/>
        <v>0</v>
      </c>
      <c r="P108" s="8"/>
      <c r="Q108" s="11">
        <f t="shared" si="8"/>
        <v>0</v>
      </c>
      <c r="S108" s="11">
        <f t="shared" si="9"/>
        <v>0</v>
      </c>
    </row>
    <row r="109" ht="14.25" customHeight="1">
      <c r="A109" s="1">
        <f t="shared" si="10"/>
        <v>108</v>
      </c>
      <c r="B109" s="10">
        <v>4807475.0</v>
      </c>
      <c r="C109" s="10">
        <f t="shared" si="1"/>
        <v>48506705</v>
      </c>
      <c r="D109" s="8"/>
      <c r="E109" s="11">
        <f t="shared" si="2"/>
        <v>0</v>
      </c>
      <c r="G109" s="11">
        <f t="shared" si="3"/>
        <v>0</v>
      </c>
      <c r="H109" s="8"/>
      <c r="I109" s="11">
        <f t="shared" si="4"/>
        <v>0</v>
      </c>
      <c r="K109" s="11">
        <f t="shared" si="5"/>
        <v>0</v>
      </c>
      <c r="L109" s="8"/>
      <c r="M109" s="11">
        <f t="shared" si="6"/>
        <v>0</v>
      </c>
      <c r="O109" s="11">
        <f t="shared" si="7"/>
        <v>0</v>
      </c>
      <c r="P109" s="8"/>
      <c r="Q109" s="11">
        <f t="shared" si="8"/>
        <v>0</v>
      </c>
      <c r="S109" s="11">
        <f t="shared" si="9"/>
        <v>0</v>
      </c>
    </row>
    <row r="110" ht="14.25" customHeight="1">
      <c r="A110" s="1">
        <f t="shared" si="10"/>
        <v>109</v>
      </c>
      <c r="B110" s="10">
        <v>5336302.0</v>
      </c>
      <c r="C110" s="10">
        <f t="shared" si="1"/>
        <v>53843007</v>
      </c>
      <c r="D110" s="8"/>
      <c r="E110" s="11">
        <f t="shared" si="2"/>
        <v>0</v>
      </c>
      <c r="G110" s="11">
        <f t="shared" si="3"/>
        <v>0</v>
      </c>
      <c r="H110" s="8"/>
      <c r="I110" s="11">
        <f t="shared" si="4"/>
        <v>0</v>
      </c>
      <c r="K110" s="11">
        <f t="shared" si="5"/>
        <v>0</v>
      </c>
      <c r="L110" s="8"/>
      <c r="M110" s="11">
        <f t="shared" si="6"/>
        <v>0</v>
      </c>
      <c r="O110" s="11">
        <f t="shared" si="7"/>
        <v>0</v>
      </c>
      <c r="P110" s="8"/>
      <c r="Q110" s="11">
        <f t="shared" si="8"/>
        <v>0</v>
      </c>
      <c r="S110" s="11">
        <f t="shared" si="9"/>
        <v>0</v>
      </c>
    </row>
    <row r="111" ht="14.25" customHeight="1">
      <c r="A111" s="1">
        <f t="shared" si="10"/>
        <v>110</v>
      </c>
      <c r="B111" s="10">
        <v>5923301.0</v>
      </c>
      <c r="C111" s="10">
        <f t="shared" si="1"/>
        <v>59766308</v>
      </c>
      <c r="D111" s="8"/>
      <c r="E111" s="11">
        <f t="shared" si="2"/>
        <v>0</v>
      </c>
      <c r="G111" s="11">
        <f t="shared" si="3"/>
        <v>0</v>
      </c>
      <c r="H111" s="8"/>
      <c r="I111" s="11">
        <f t="shared" si="4"/>
        <v>0</v>
      </c>
      <c r="K111" s="11">
        <f t="shared" si="5"/>
        <v>0</v>
      </c>
      <c r="L111" s="8"/>
      <c r="M111" s="11">
        <f t="shared" si="6"/>
        <v>0</v>
      </c>
      <c r="O111" s="11">
        <f t="shared" si="7"/>
        <v>0</v>
      </c>
      <c r="P111" s="8"/>
      <c r="Q111" s="11">
        <f t="shared" si="8"/>
        <v>0</v>
      </c>
      <c r="S111" s="11">
        <f t="shared" si="9"/>
        <v>0</v>
      </c>
    </row>
    <row r="112" ht="14.25" customHeight="1">
      <c r="A112" s="1">
        <f t="shared" si="10"/>
        <v>111</v>
      </c>
      <c r="B112" s="10">
        <v>6574869.0</v>
      </c>
      <c r="C112" s="10">
        <f t="shared" si="1"/>
        <v>66341177</v>
      </c>
      <c r="D112" s="8"/>
      <c r="E112" s="11">
        <f t="shared" si="2"/>
        <v>0</v>
      </c>
      <c r="G112" s="11">
        <f t="shared" si="3"/>
        <v>0</v>
      </c>
      <c r="H112" s="8"/>
      <c r="I112" s="11">
        <f t="shared" si="4"/>
        <v>0</v>
      </c>
      <c r="K112" s="11">
        <f t="shared" si="5"/>
        <v>0</v>
      </c>
      <c r="L112" s="8"/>
      <c r="M112" s="11">
        <f t="shared" si="6"/>
        <v>0</v>
      </c>
      <c r="O112" s="11">
        <f t="shared" si="7"/>
        <v>0</v>
      </c>
      <c r="P112" s="8"/>
      <c r="Q112" s="11">
        <f t="shared" si="8"/>
        <v>0</v>
      </c>
      <c r="S112" s="11">
        <f t="shared" si="9"/>
        <v>0</v>
      </c>
    </row>
    <row r="113" ht="14.25" customHeight="1">
      <c r="A113" s="1">
        <f t="shared" si="10"/>
        <v>112</v>
      </c>
      <c r="B113" s="10">
        <v>7298109.0</v>
      </c>
      <c r="C113" s="10">
        <f t="shared" si="1"/>
        <v>73639286</v>
      </c>
      <c r="D113" s="8"/>
      <c r="E113" s="11">
        <f t="shared" si="2"/>
        <v>0</v>
      </c>
      <c r="G113" s="11">
        <f t="shared" si="3"/>
        <v>0</v>
      </c>
      <c r="H113" s="8"/>
      <c r="I113" s="11">
        <f t="shared" si="4"/>
        <v>0</v>
      </c>
      <c r="K113" s="11">
        <f t="shared" si="5"/>
        <v>0</v>
      </c>
      <c r="L113" s="8"/>
      <c r="M113" s="11">
        <f t="shared" si="6"/>
        <v>0</v>
      </c>
      <c r="O113" s="11">
        <f t="shared" si="7"/>
        <v>0</v>
      </c>
      <c r="P113" s="8"/>
      <c r="Q113" s="11">
        <f t="shared" si="8"/>
        <v>0</v>
      </c>
      <c r="S113" s="11">
        <f t="shared" si="9"/>
        <v>0</v>
      </c>
    </row>
    <row r="114" ht="14.25" customHeight="1">
      <c r="A114" s="1">
        <f t="shared" si="10"/>
        <v>113</v>
      </c>
      <c r="B114" s="10">
        <v>8100906.0</v>
      </c>
      <c r="C114" s="10">
        <f t="shared" si="1"/>
        <v>81740192</v>
      </c>
      <c r="D114" s="8"/>
      <c r="E114" s="11">
        <f t="shared" si="2"/>
        <v>0</v>
      </c>
      <c r="G114" s="11">
        <f t="shared" si="3"/>
        <v>0</v>
      </c>
      <c r="H114" s="8"/>
      <c r="I114" s="11">
        <f t="shared" si="4"/>
        <v>0</v>
      </c>
      <c r="K114" s="11">
        <f t="shared" si="5"/>
        <v>0</v>
      </c>
      <c r="L114" s="8"/>
      <c r="M114" s="11">
        <f t="shared" si="6"/>
        <v>0</v>
      </c>
      <c r="O114" s="11">
        <f t="shared" si="7"/>
        <v>0</v>
      </c>
      <c r="P114" s="8"/>
      <c r="Q114" s="11">
        <f t="shared" si="8"/>
        <v>0</v>
      </c>
      <c r="S114" s="11">
        <f t="shared" si="9"/>
        <v>0</v>
      </c>
    </row>
    <row r="115" ht="14.25" customHeight="1">
      <c r="A115" s="1">
        <f t="shared" si="10"/>
        <v>114</v>
      </c>
      <c r="B115" s="10">
        <v>8992011.0</v>
      </c>
      <c r="C115" s="10">
        <f t="shared" si="1"/>
        <v>90732203</v>
      </c>
      <c r="D115" s="8"/>
      <c r="E115" s="11">
        <f t="shared" si="2"/>
        <v>0</v>
      </c>
      <c r="G115" s="11">
        <f t="shared" si="3"/>
        <v>0</v>
      </c>
      <c r="H115" s="8"/>
      <c r="I115" s="11">
        <f t="shared" si="4"/>
        <v>0</v>
      </c>
      <c r="K115" s="11">
        <f t="shared" si="5"/>
        <v>0</v>
      </c>
      <c r="L115" s="8"/>
      <c r="M115" s="11">
        <f t="shared" si="6"/>
        <v>0</v>
      </c>
      <c r="O115" s="11">
        <f t="shared" si="7"/>
        <v>0</v>
      </c>
      <c r="P115" s="8"/>
      <c r="Q115" s="11">
        <f t="shared" si="8"/>
        <v>0</v>
      </c>
      <c r="S115" s="11">
        <f t="shared" si="9"/>
        <v>0</v>
      </c>
    </row>
    <row r="116" ht="14.25" customHeight="1">
      <c r="A116" s="1">
        <f t="shared" si="10"/>
        <v>115</v>
      </c>
      <c r="B116" s="10">
        <v>9981137.0</v>
      </c>
      <c r="C116" s="10">
        <f t="shared" si="1"/>
        <v>100713340</v>
      </c>
      <c r="D116" s="8"/>
      <c r="E116" s="11">
        <f t="shared" si="2"/>
        <v>0</v>
      </c>
      <c r="G116" s="11">
        <f t="shared" si="3"/>
        <v>0</v>
      </c>
      <c r="H116" s="8"/>
      <c r="I116" s="11">
        <f t="shared" si="4"/>
        <v>0</v>
      </c>
      <c r="K116" s="11">
        <f t="shared" si="5"/>
        <v>0</v>
      </c>
      <c r="L116" s="8"/>
      <c r="M116" s="11">
        <f t="shared" si="6"/>
        <v>0</v>
      </c>
      <c r="O116" s="11">
        <f t="shared" si="7"/>
        <v>0</v>
      </c>
      <c r="P116" s="8"/>
      <c r="Q116" s="11">
        <f t="shared" si="8"/>
        <v>0</v>
      </c>
      <c r="S116" s="11">
        <f t="shared" si="9"/>
        <v>0</v>
      </c>
    </row>
    <row r="117" ht="14.25" customHeight="1">
      <c r="A117" s="1">
        <f t="shared" si="10"/>
        <v>116</v>
      </c>
      <c r="B117" s="10">
        <v>1.1079067E7</v>
      </c>
      <c r="C117" s="10">
        <f t="shared" si="1"/>
        <v>111792407</v>
      </c>
      <c r="D117" s="8"/>
      <c r="E117" s="11">
        <f t="shared" si="2"/>
        <v>0</v>
      </c>
      <c r="G117" s="11">
        <f t="shared" si="3"/>
        <v>0</v>
      </c>
      <c r="H117" s="8"/>
      <c r="I117" s="11">
        <f t="shared" si="4"/>
        <v>0</v>
      </c>
      <c r="K117" s="11">
        <f t="shared" si="5"/>
        <v>0</v>
      </c>
      <c r="L117" s="8"/>
      <c r="M117" s="11">
        <f t="shared" si="6"/>
        <v>0</v>
      </c>
      <c r="O117" s="11">
        <f t="shared" si="7"/>
        <v>0</v>
      </c>
      <c r="P117" s="8"/>
      <c r="Q117" s="11">
        <f t="shared" si="8"/>
        <v>0</v>
      </c>
      <c r="S117" s="11">
        <f t="shared" si="9"/>
        <v>0</v>
      </c>
    </row>
    <row r="118" ht="14.25" customHeight="1">
      <c r="A118" s="1">
        <f t="shared" si="10"/>
        <v>117</v>
      </c>
      <c r="B118" s="10">
        <v>1.229777E7</v>
      </c>
      <c r="C118" s="10">
        <f t="shared" si="1"/>
        <v>124090177</v>
      </c>
      <c r="D118" s="8"/>
      <c r="E118" s="11">
        <f t="shared" si="2"/>
        <v>0</v>
      </c>
      <c r="G118" s="11">
        <f t="shared" si="3"/>
        <v>0</v>
      </c>
      <c r="H118" s="4">
        <v>0.288</v>
      </c>
      <c r="I118" s="11">
        <f t="shared" si="4"/>
        <v>3931352.64</v>
      </c>
      <c r="J118" s="5">
        <v>2.0</v>
      </c>
      <c r="K118" s="11">
        <f t="shared" si="5"/>
        <v>252111706.6</v>
      </c>
      <c r="L118" s="4">
        <v>0.061</v>
      </c>
      <c r="M118" s="11">
        <f t="shared" si="6"/>
        <v>832682.33</v>
      </c>
      <c r="N118" s="5">
        <v>1.0</v>
      </c>
      <c r="O118" s="11">
        <f t="shared" si="7"/>
        <v>124922859.3</v>
      </c>
      <c r="P118" s="8"/>
      <c r="Q118" s="11">
        <f t="shared" si="8"/>
        <v>0</v>
      </c>
      <c r="S118" s="11">
        <f t="shared" si="9"/>
        <v>0</v>
      </c>
    </row>
    <row r="119" ht="14.25" customHeight="1">
      <c r="A119" s="1">
        <f t="shared" si="10"/>
        <v>118</v>
      </c>
      <c r="B119" s="10">
        <v>1.365053E7</v>
      </c>
      <c r="C119" s="10">
        <f t="shared" si="1"/>
        <v>137740707</v>
      </c>
      <c r="D119" s="8"/>
      <c r="E119" s="11">
        <f t="shared" si="2"/>
        <v>0</v>
      </c>
      <c r="G119" s="11">
        <f t="shared" si="3"/>
        <v>0</v>
      </c>
      <c r="H119" s="8"/>
      <c r="I119" s="11">
        <f t="shared" si="4"/>
        <v>0</v>
      </c>
      <c r="K119" s="11">
        <f t="shared" si="5"/>
        <v>0</v>
      </c>
      <c r="L119" s="8"/>
      <c r="M119" s="11">
        <f t="shared" si="6"/>
        <v>0</v>
      </c>
      <c r="O119" s="11">
        <f t="shared" si="7"/>
        <v>0</v>
      </c>
      <c r="P119" s="8"/>
      <c r="Q119" s="11">
        <f t="shared" si="8"/>
        <v>0</v>
      </c>
      <c r="S119" s="11">
        <f t="shared" si="9"/>
        <v>0</v>
      </c>
    </row>
    <row r="120" ht="14.25" customHeight="1">
      <c r="A120" s="1">
        <f t="shared" si="10"/>
        <v>119</v>
      </c>
      <c r="B120" s="10">
        <v>1.5152093E7</v>
      </c>
      <c r="C120" s="10">
        <f t="shared" si="1"/>
        <v>152892800</v>
      </c>
      <c r="D120" s="8"/>
      <c r="E120" s="11">
        <f t="shared" si="2"/>
        <v>0</v>
      </c>
      <c r="G120" s="11">
        <f t="shared" si="3"/>
        <v>0</v>
      </c>
      <c r="H120" s="4">
        <v>0.594</v>
      </c>
      <c r="I120" s="11">
        <f t="shared" si="4"/>
        <v>9990383.832</v>
      </c>
      <c r="J120" s="5">
        <v>1.0</v>
      </c>
      <c r="K120" s="11">
        <f t="shared" si="5"/>
        <v>162883183.8</v>
      </c>
      <c r="L120" s="4">
        <v>4.383</v>
      </c>
      <c r="M120" s="11">
        <f t="shared" si="6"/>
        <v>73716923.12</v>
      </c>
      <c r="N120" s="5">
        <v>7.0</v>
      </c>
      <c r="O120" s="11">
        <f t="shared" si="7"/>
        <v>1143966523</v>
      </c>
      <c r="P120" s="8"/>
      <c r="Q120" s="11">
        <f t="shared" si="8"/>
        <v>0</v>
      </c>
      <c r="S120" s="11">
        <f t="shared" si="9"/>
        <v>0</v>
      </c>
    </row>
    <row r="121" ht="14.25" customHeight="1">
      <c r="A121" s="1">
        <f t="shared" si="10"/>
        <v>120</v>
      </c>
      <c r="B121" s="10">
        <v>1.6818828E7</v>
      </c>
      <c r="C121" s="10">
        <f t="shared" si="1"/>
        <v>169711628</v>
      </c>
      <c r="D121" s="8"/>
      <c r="E121" s="11">
        <f t="shared" si="2"/>
        <v>0</v>
      </c>
      <c r="G121" s="11">
        <f t="shared" si="3"/>
        <v>0</v>
      </c>
      <c r="H121" s="4">
        <v>0.882</v>
      </c>
      <c r="I121" s="11">
        <f t="shared" si="4"/>
        <v>16465973.33</v>
      </c>
      <c r="J121" s="5">
        <v>2.0</v>
      </c>
      <c r="K121" s="11">
        <f t="shared" si="5"/>
        <v>355889229.3</v>
      </c>
      <c r="L121" s="4">
        <v>1.395</v>
      </c>
      <c r="M121" s="11">
        <f t="shared" si="6"/>
        <v>26043121.08</v>
      </c>
      <c r="N121" s="5">
        <v>2.0</v>
      </c>
      <c r="O121" s="11">
        <f t="shared" si="7"/>
        <v>365466377.1</v>
      </c>
      <c r="P121" s="8"/>
      <c r="Q121" s="11">
        <f t="shared" si="8"/>
        <v>0</v>
      </c>
      <c r="S121" s="11">
        <f t="shared" si="9"/>
        <v>0</v>
      </c>
    </row>
    <row r="122" ht="14.25" customHeight="1">
      <c r="A122" s="1">
        <f t="shared" si="10"/>
        <v>121</v>
      </c>
      <c r="B122" s="10">
        <v>1.8668904E7</v>
      </c>
      <c r="C122" s="10">
        <f t="shared" si="1"/>
        <v>188380532</v>
      </c>
      <c r="D122" s="8"/>
      <c r="E122" s="11">
        <f t="shared" si="2"/>
        <v>0</v>
      </c>
      <c r="G122" s="11">
        <f t="shared" si="3"/>
        <v>0</v>
      </c>
      <c r="H122" s="8"/>
      <c r="I122" s="11">
        <f t="shared" si="4"/>
        <v>0</v>
      </c>
      <c r="K122" s="11">
        <f t="shared" si="5"/>
        <v>0</v>
      </c>
      <c r="L122" s="4">
        <v>0.85</v>
      </c>
      <c r="M122" s="11">
        <f t="shared" si="6"/>
        <v>17614115.65</v>
      </c>
      <c r="N122" s="5">
        <v>1.0</v>
      </c>
      <c r="O122" s="11">
        <f t="shared" si="7"/>
        <v>205994647.7</v>
      </c>
      <c r="P122" s="8"/>
      <c r="Q122" s="11">
        <f t="shared" si="8"/>
        <v>0</v>
      </c>
      <c r="S122" s="11">
        <f t="shared" si="9"/>
        <v>0</v>
      </c>
    </row>
    <row r="123" ht="14.25" customHeight="1">
      <c r="A123" s="1">
        <f t="shared" si="10"/>
        <v>122</v>
      </c>
      <c r="B123" s="10">
        <v>2.0722489E7</v>
      </c>
      <c r="C123" s="10">
        <f t="shared" si="1"/>
        <v>209103021</v>
      </c>
      <c r="D123" s="8"/>
      <c r="E123" s="11">
        <f t="shared" si="2"/>
        <v>0</v>
      </c>
      <c r="G123" s="11">
        <f t="shared" si="3"/>
        <v>0</v>
      </c>
      <c r="H123" s="8"/>
      <c r="I123" s="11">
        <f t="shared" si="4"/>
        <v>0</v>
      </c>
      <c r="K123" s="11">
        <f t="shared" si="5"/>
        <v>0</v>
      </c>
      <c r="L123" s="4">
        <v>0.118</v>
      </c>
      <c r="M123" s="11">
        <f t="shared" si="6"/>
        <v>2714232.106</v>
      </c>
      <c r="N123" s="5">
        <v>1.0</v>
      </c>
      <c r="O123" s="11">
        <f t="shared" si="7"/>
        <v>211817253.1</v>
      </c>
      <c r="P123" s="8"/>
      <c r="Q123" s="11">
        <f t="shared" si="8"/>
        <v>0</v>
      </c>
      <c r="S123" s="11">
        <f t="shared" si="9"/>
        <v>0</v>
      </c>
    </row>
    <row r="124" ht="14.25" customHeight="1">
      <c r="A124" s="1">
        <f t="shared" si="10"/>
        <v>123</v>
      </c>
      <c r="B124" s="10">
        <v>2.3001967E7</v>
      </c>
      <c r="C124" s="10">
        <f t="shared" si="1"/>
        <v>232104988</v>
      </c>
      <c r="D124" s="8"/>
      <c r="E124" s="11">
        <f t="shared" si="2"/>
        <v>0</v>
      </c>
      <c r="G124" s="11">
        <f t="shared" si="3"/>
        <v>0</v>
      </c>
      <c r="H124" s="8"/>
      <c r="I124" s="11">
        <f t="shared" si="4"/>
        <v>0</v>
      </c>
      <c r="K124" s="11">
        <f t="shared" si="5"/>
        <v>0</v>
      </c>
      <c r="L124" s="8"/>
      <c r="M124" s="11">
        <f t="shared" si="6"/>
        <v>0</v>
      </c>
      <c r="O124" s="11">
        <f t="shared" si="7"/>
        <v>0</v>
      </c>
      <c r="P124" s="8"/>
      <c r="Q124" s="11">
        <f t="shared" si="8"/>
        <v>0</v>
      </c>
      <c r="S124" s="11">
        <f t="shared" si="9"/>
        <v>0</v>
      </c>
    </row>
    <row r="125" ht="14.25" customHeight="1">
      <c r="A125" s="1">
        <f t="shared" si="10"/>
        <v>124</v>
      </c>
      <c r="B125" s="10">
        <v>2.5532189E7</v>
      </c>
      <c r="C125" s="10">
        <f t="shared" si="1"/>
        <v>257637177</v>
      </c>
      <c r="D125" s="4">
        <v>2.24</v>
      </c>
      <c r="E125" s="11">
        <f t="shared" si="2"/>
        <v>63483244.16</v>
      </c>
      <c r="F125" s="5">
        <v>7.0</v>
      </c>
      <c r="G125" s="11">
        <f t="shared" si="3"/>
        <v>1866943483</v>
      </c>
      <c r="H125" s="4"/>
      <c r="I125" s="11">
        <f t="shared" si="4"/>
        <v>0</v>
      </c>
      <c r="K125" s="11">
        <f t="shared" si="5"/>
        <v>0</v>
      </c>
      <c r="L125" s="4"/>
      <c r="M125" s="11">
        <f t="shared" si="6"/>
        <v>0</v>
      </c>
      <c r="O125" s="11">
        <f t="shared" si="7"/>
        <v>0</v>
      </c>
      <c r="P125" s="4"/>
      <c r="Q125" s="11">
        <f t="shared" si="8"/>
        <v>0</v>
      </c>
      <c r="S125" s="11">
        <f t="shared" si="9"/>
        <v>0</v>
      </c>
    </row>
    <row r="126" ht="14.25" customHeight="1">
      <c r="A126" s="1">
        <f t="shared" si="10"/>
        <v>125</v>
      </c>
      <c r="B126" s="10">
        <v>2.8340734E7</v>
      </c>
      <c r="C126" s="10">
        <f t="shared" si="1"/>
        <v>285977911</v>
      </c>
      <c r="D126" s="4">
        <v>1.533</v>
      </c>
      <c r="E126" s="11">
        <f t="shared" si="2"/>
        <v>48225451.26</v>
      </c>
      <c r="F126" s="5">
        <v>5.0</v>
      </c>
      <c r="G126" s="11">
        <f t="shared" si="3"/>
        <v>1478115006</v>
      </c>
      <c r="H126" s="4"/>
      <c r="I126" s="11">
        <f t="shared" si="4"/>
        <v>0</v>
      </c>
      <c r="K126" s="11">
        <f t="shared" si="5"/>
        <v>0</v>
      </c>
      <c r="L126" s="4"/>
      <c r="M126" s="11">
        <f t="shared" si="6"/>
        <v>0</v>
      </c>
      <c r="O126" s="11">
        <f t="shared" si="7"/>
        <v>0</v>
      </c>
      <c r="P126" s="4"/>
      <c r="Q126" s="11">
        <f t="shared" si="8"/>
        <v>0</v>
      </c>
      <c r="S126" s="11">
        <f t="shared" si="9"/>
        <v>0</v>
      </c>
    </row>
    <row r="127" ht="14.25" customHeight="1">
      <c r="A127" s="1">
        <f t="shared" si="10"/>
        <v>126</v>
      </c>
      <c r="B127" s="10">
        <v>3.145822E7</v>
      </c>
      <c r="C127" s="10">
        <f t="shared" si="1"/>
        <v>317436131</v>
      </c>
      <c r="D127" s="8"/>
      <c r="E127" s="11">
        <f t="shared" si="2"/>
        <v>0</v>
      </c>
      <c r="G127" s="11">
        <f t="shared" si="3"/>
        <v>0</v>
      </c>
      <c r="H127" s="8"/>
      <c r="I127" s="11">
        <f t="shared" si="4"/>
        <v>0</v>
      </c>
      <c r="K127" s="11">
        <f t="shared" si="5"/>
        <v>0</v>
      </c>
      <c r="L127" s="8"/>
      <c r="M127" s="11">
        <f t="shared" si="6"/>
        <v>0</v>
      </c>
      <c r="O127" s="11">
        <f t="shared" si="7"/>
        <v>0</v>
      </c>
      <c r="P127" s="8"/>
      <c r="Q127" s="11">
        <f t="shared" si="8"/>
        <v>0</v>
      </c>
      <c r="S127" s="11">
        <f t="shared" si="9"/>
        <v>0</v>
      </c>
    </row>
    <row r="128" ht="14.25" customHeight="1">
      <c r="A128" s="1">
        <f t="shared" si="10"/>
        <v>127</v>
      </c>
      <c r="B128" s="10">
        <v>3.491863E7</v>
      </c>
      <c r="C128" s="10">
        <f t="shared" si="1"/>
        <v>352354761</v>
      </c>
      <c r="D128" s="8"/>
      <c r="E128" s="11">
        <f t="shared" si="2"/>
        <v>0</v>
      </c>
      <c r="G128" s="11">
        <f t="shared" si="3"/>
        <v>0</v>
      </c>
      <c r="H128" s="8"/>
      <c r="I128" s="11">
        <f t="shared" si="4"/>
        <v>0</v>
      </c>
      <c r="K128" s="11">
        <f t="shared" si="5"/>
        <v>0</v>
      </c>
      <c r="L128" s="8"/>
      <c r="M128" s="11">
        <f t="shared" si="6"/>
        <v>0</v>
      </c>
      <c r="O128" s="11">
        <f t="shared" si="7"/>
        <v>0</v>
      </c>
      <c r="P128" s="8"/>
      <c r="Q128" s="11">
        <f t="shared" si="8"/>
        <v>0</v>
      </c>
      <c r="S128" s="11">
        <f t="shared" si="9"/>
        <v>0</v>
      </c>
    </row>
    <row r="129" ht="14.25" customHeight="1">
      <c r="A129" s="1">
        <f t="shared" si="10"/>
        <v>128</v>
      </c>
      <c r="B129" s="10">
        <v>3.8759684E7</v>
      </c>
      <c r="C129" s="10">
        <f t="shared" si="1"/>
        <v>391114445</v>
      </c>
      <c r="D129" s="8"/>
      <c r="E129" s="11">
        <f t="shared" si="2"/>
        <v>0</v>
      </c>
      <c r="G129" s="11">
        <f t="shared" si="3"/>
        <v>0</v>
      </c>
      <c r="H129" s="8"/>
      <c r="I129" s="11">
        <f t="shared" si="4"/>
        <v>0</v>
      </c>
      <c r="K129" s="11">
        <f t="shared" si="5"/>
        <v>0</v>
      </c>
      <c r="L129" s="8"/>
      <c r="M129" s="11">
        <f t="shared" si="6"/>
        <v>0</v>
      </c>
      <c r="O129" s="11">
        <f t="shared" si="7"/>
        <v>0</v>
      </c>
      <c r="P129" s="8"/>
      <c r="Q129" s="11">
        <f t="shared" si="8"/>
        <v>0</v>
      </c>
      <c r="S129" s="11">
        <f t="shared" si="9"/>
        <v>0</v>
      </c>
    </row>
    <row r="130" ht="14.25" customHeight="1">
      <c r="A130" s="1">
        <f t="shared" si="10"/>
        <v>129</v>
      </c>
      <c r="B130" s="10">
        <v>4.3023254E7</v>
      </c>
      <c r="C130" s="10">
        <f t="shared" si="1"/>
        <v>434137699</v>
      </c>
      <c r="D130" s="8"/>
      <c r="E130" s="11">
        <f t="shared" si="2"/>
        <v>0</v>
      </c>
      <c r="G130" s="11">
        <f t="shared" si="3"/>
        <v>0</v>
      </c>
      <c r="H130" s="8"/>
      <c r="I130" s="11">
        <f t="shared" si="4"/>
        <v>0</v>
      </c>
      <c r="K130" s="11">
        <f t="shared" si="5"/>
        <v>0</v>
      </c>
      <c r="L130" s="8"/>
      <c r="M130" s="11">
        <f t="shared" si="6"/>
        <v>0</v>
      </c>
      <c r="O130" s="11">
        <f t="shared" si="7"/>
        <v>0</v>
      </c>
      <c r="P130" s="8"/>
      <c r="Q130" s="11">
        <f t="shared" si="8"/>
        <v>0</v>
      </c>
      <c r="S130" s="11">
        <f t="shared" si="9"/>
        <v>0</v>
      </c>
    </row>
    <row r="131" ht="14.25" customHeight="1">
      <c r="A131" s="1">
        <f t="shared" si="10"/>
        <v>130</v>
      </c>
      <c r="B131" s="10">
        <v>4.7755817E7</v>
      </c>
      <c r="C131" s="10">
        <f t="shared" si="1"/>
        <v>481893516</v>
      </c>
      <c r="D131" s="8"/>
      <c r="E131" s="11">
        <f t="shared" si="2"/>
        <v>0</v>
      </c>
      <c r="G131" s="11">
        <f t="shared" si="3"/>
        <v>0</v>
      </c>
      <c r="H131" s="8"/>
      <c r="I131" s="11">
        <f t="shared" si="4"/>
        <v>0</v>
      </c>
      <c r="K131" s="11">
        <f t="shared" si="5"/>
        <v>0</v>
      </c>
      <c r="L131" s="8"/>
      <c r="M131" s="11">
        <f t="shared" si="6"/>
        <v>0</v>
      </c>
      <c r="O131" s="11">
        <f t="shared" si="7"/>
        <v>0</v>
      </c>
      <c r="P131" s="8"/>
      <c r="Q131" s="11">
        <f t="shared" si="8"/>
        <v>0</v>
      </c>
      <c r="S131" s="11">
        <f t="shared" si="9"/>
        <v>0</v>
      </c>
    </row>
    <row r="132" ht="14.25" customHeight="1">
      <c r="A132" s="1">
        <f t="shared" si="10"/>
        <v>131</v>
      </c>
      <c r="B132" s="12">
        <v>5.3008961E7</v>
      </c>
      <c r="C132" s="10">
        <f t="shared" si="1"/>
        <v>534902477</v>
      </c>
      <c r="D132" s="8"/>
      <c r="E132" s="11">
        <f t="shared" si="2"/>
        <v>0</v>
      </c>
      <c r="G132" s="11">
        <f t="shared" si="3"/>
        <v>0</v>
      </c>
      <c r="H132" s="8"/>
      <c r="I132" s="11">
        <f t="shared" si="4"/>
        <v>0</v>
      </c>
      <c r="K132" s="11">
        <f t="shared" si="5"/>
        <v>0</v>
      </c>
      <c r="L132" s="8"/>
      <c r="M132" s="11">
        <f t="shared" si="6"/>
        <v>0</v>
      </c>
      <c r="O132" s="11">
        <f t="shared" si="7"/>
        <v>0</v>
      </c>
      <c r="P132" s="8"/>
      <c r="Q132" s="11">
        <f t="shared" si="8"/>
        <v>0</v>
      </c>
      <c r="S132" s="11">
        <f t="shared" si="9"/>
        <v>0</v>
      </c>
    </row>
    <row r="133" ht="14.25" customHeight="1">
      <c r="A133" s="13">
        <v>132.0</v>
      </c>
      <c r="B133" s="14">
        <v>5.8839952E7</v>
      </c>
      <c r="C133" s="10">
        <f t="shared" si="1"/>
        <v>593742429</v>
      </c>
      <c r="D133" s="4" t="s">
        <v>11</v>
      </c>
      <c r="G133" s="9">
        <f t="shared" si="3"/>
        <v>0</v>
      </c>
      <c r="H133" s="4" t="s">
        <v>11</v>
      </c>
      <c r="I133" s="15">
        <v>4868909.0</v>
      </c>
      <c r="J133" s="5">
        <v>2.0</v>
      </c>
      <c r="K133" s="11">
        <f t="shared" si="5"/>
        <v>1192353767</v>
      </c>
      <c r="L133" s="4" t="s">
        <v>11</v>
      </c>
      <c r="O133" s="11">
        <f t="shared" si="7"/>
        <v>0</v>
      </c>
      <c r="P133" s="4" t="s">
        <v>11</v>
      </c>
      <c r="S133" s="11">
        <f t="shared" si="9"/>
        <v>0</v>
      </c>
    </row>
    <row r="134" ht="14.25" customHeight="1">
      <c r="A134" s="1"/>
      <c r="B134" s="1"/>
      <c r="C134" s="1"/>
      <c r="D134" s="8"/>
      <c r="E134" s="5" t="s">
        <v>12</v>
      </c>
      <c r="F134" s="16">
        <f>SUM(F2:F133)</f>
        <v>12</v>
      </c>
      <c r="G134" s="17"/>
      <c r="H134" s="8"/>
      <c r="I134" s="5" t="s">
        <v>12</v>
      </c>
      <c r="J134" s="16">
        <f>SUM(J2:J133)</f>
        <v>12</v>
      </c>
      <c r="K134" s="17"/>
      <c r="L134" s="8"/>
      <c r="M134" s="5" t="s">
        <v>12</v>
      </c>
      <c r="N134" s="16">
        <f>SUM(N2:N133)</f>
        <v>12</v>
      </c>
      <c r="O134" s="17"/>
      <c r="P134" s="8"/>
      <c r="Q134" s="5" t="s">
        <v>12</v>
      </c>
      <c r="R134" s="16">
        <f>SUM(R2:R133)</f>
        <v>0</v>
      </c>
      <c r="S134" s="17"/>
    </row>
    <row r="135" ht="14.25" customHeight="1">
      <c r="A135" s="18" t="s">
        <v>2</v>
      </c>
      <c r="B135" s="19">
        <f>SUM(B3:B133)</f>
        <v>593742429</v>
      </c>
      <c r="C135" s="1"/>
      <c r="D135" s="8"/>
      <c r="F135" s="6" t="s">
        <v>2</v>
      </c>
      <c r="G135" s="11">
        <f>SUM(G3:G134)</f>
        <v>3345058489</v>
      </c>
      <c r="H135" s="8"/>
      <c r="J135" s="6" t="s">
        <v>2</v>
      </c>
      <c r="K135" s="11">
        <f>SUM(K3:K134)</f>
        <v>2129344022</v>
      </c>
      <c r="L135" s="8"/>
      <c r="N135" s="6" t="s">
        <v>2</v>
      </c>
      <c r="O135" s="11">
        <f>SUM(O3:O134)</f>
        <v>2052167660</v>
      </c>
      <c r="P135" s="8"/>
      <c r="R135" s="6" t="s">
        <v>2</v>
      </c>
      <c r="S135" s="11">
        <f>SUM(S3:S134)</f>
        <v>0</v>
      </c>
    </row>
    <row r="136" ht="14.25" customHeight="1">
      <c r="A136" s="6" t="s">
        <v>13</v>
      </c>
      <c r="B136" s="9">
        <f>12*C133</f>
        <v>7124909148</v>
      </c>
      <c r="D136" s="8"/>
      <c r="G136" s="11"/>
      <c r="H136" s="8"/>
      <c r="L136" s="8"/>
      <c r="P136" s="8"/>
    </row>
    <row r="137" ht="14.25" customHeight="1">
      <c r="D137" s="8"/>
      <c r="H137" s="8"/>
      <c r="L137" s="8"/>
      <c r="P137" s="8"/>
    </row>
    <row r="138" ht="14.25" customHeight="1">
      <c r="D138" s="8"/>
      <c r="H138" s="8"/>
      <c r="L138" s="8"/>
      <c r="P138" s="8"/>
    </row>
    <row r="139" ht="14.25" customHeight="1">
      <c r="D139" s="8"/>
      <c r="H139" s="8"/>
      <c r="L139" s="8"/>
      <c r="P139" s="8"/>
    </row>
    <row r="140" ht="14.25" customHeight="1">
      <c r="D140" s="8"/>
      <c r="H140" s="8"/>
      <c r="L140" s="8"/>
      <c r="P140" s="8"/>
    </row>
    <row r="141" ht="14.25" customHeight="1">
      <c r="D141" s="8"/>
      <c r="H141" s="8"/>
      <c r="L141" s="8"/>
      <c r="P141" s="8"/>
    </row>
    <row r="142" ht="14.25" customHeight="1">
      <c r="D142" s="8"/>
      <c r="H142" s="8"/>
      <c r="L142" s="8"/>
      <c r="P142" s="8"/>
    </row>
    <row r="143" ht="14.25" customHeight="1">
      <c r="D143" s="8"/>
      <c r="H143" s="8"/>
      <c r="L143" s="8"/>
      <c r="P143" s="8"/>
    </row>
    <row r="144" ht="14.25" customHeight="1">
      <c r="D144" s="8"/>
      <c r="H144" s="8"/>
      <c r="L144" s="8"/>
      <c r="P144" s="8"/>
    </row>
    <row r="145" ht="14.25" customHeight="1">
      <c r="D145" s="8"/>
      <c r="H145" s="8"/>
      <c r="L145" s="8"/>
      <c r="P145" s="8"/>
    </row>
    <row r="146" ht="14.25" customHeight="1">
      <c r="D146" s="8"/>
      <c r="H146" s="8"/>
      <c r="L146" s="8"/>
      <c r="P146" s="8"/>
    </row>
    <row r="147" ht="14.25" customHeight="1">
      <c r="D147" s="8"/>
      <c r="H147" s="8"/>
      <c r="L147" s="8"/>
      <c r="P147" s="8"/>
    </row>
    <row r="148" ht="14.25" customHeight="1">
      <c r="D148" s="8"/>
      <c r="H148" s="8"/>
      <c r="L148" s="8"/>
      <c r="P148" s="8"/>
    </row>
    <row r="149" ht="14.25" customHeight="1">
      <c r="D149" s="8"/>
      <c r="H149" s="8"/>
      <c r="L149" s="8"/>
      <c r="P149" s="8"/>
    </row>
    <row r="150" ht="14.25" customHeight="1">
      <c r="D150" s="8"/>
      <c r="H150" s="8"/>
      <c r="L150" s="8"/>
      <c r="P150" s="8"/>
    </row>
    <row r="151" ht="14.25" customHeight="1">
      <c r="D151" s="8"/>
      <c r="H151" s="8"/>
      <c r="L151" s="8"/>
      <c r="P151" s="8"/>
    </row>
    <row r="152" ht="14.25" customHeight="1">
      <c r="D152" s="8"/>
      <c r="H152" s="8"/>
      <c r="L152" s="8"/>
      <c r="P152" s="8"/>
    </row>
    <row r="153" ht="14.25" customHeight="1">
      <c r="D153" s="8"/>
      <c r="H153" s="8"/>
      <c r="L153" s="8"/>
      <c r="P153" s="8"/>
    </row>
    <row r="154" ht="14.25" customHeight="1">
      <c r="D154" s="8"/>
      <c r="H154" s="8"/>
      <c r="L154" s="8"/>
      <c r="P154" s="8"/>
    </row>
    <row r="155" ht="14.25" customHeight="1">
      <c r="D155" s="8"/>
      <c r="H155" s="8"/>
      <c r="L155" s="8"/>
      <c r="P155" s="8"/>
    </row>
    <row r="156" ht="14.25" customHeight="1">
      <c r="D156" s="8"/>
      <c r="H156" s="8"/>
      <c r="L156" s="8"/>
      <c r="P156" s="8"/>
    </row>
    <row r="157" ht="14.25" customHeight="1">
      <c r="D157" s="8"/>
      <c r="H157" s="8"/>
      <c r="L157" s="8"/>
      <c r="P157" s="8"/>
    </row>
    <row r="158" ht="14.25" customHeight="1">
      <c r="D158" s="8"/>
      <c r="H158" s="8"/>
      <c r="L158" s="8"/>
      <c r="P158" s="8"/>
    </row>
    <row r="159" ht="14.25" customHeight="1">
      <c r="D159" s="8"/>
      <c r="H159" s="8"/>
      <c r="L159" s="8"/>
      <c r="P159" s="8"/>
    </row>
    <row r="160" ht="14.25" customHeight="1">
      <c r="D160" s="8"/>
      <c r="H160" s="8"/>
      <c r="L160" s="8"/>
      <c r="P160" s="8"/>
    </row>
    <row r="161" ht="14.25" customHeight="1">
      <c r="D161" s="8"/>
      <c r="H161" s="8"/>
      <c r="L161" s="8"/>
      <c r="P161" s="8"/>
    </row>
    <row r="162" ht="14.25" customHeight="1">
      <c r="D162" s="8"/>
      <c r="H162" s="8"/>
      <c r="L162" s="8"/>
      <c r="P162" s="8"/>
    </row>
    <row r="163" ht="14.25" customHeight="1">
      <c r="D163" s="8"/>
      <c r="H163" s="8"/>
      <c r="L163" s="8"/>
      <c r="P163" s="8"/>
    </row>
    <row r="164" ht="14.25" customHeight="1">
      <c r="D164" s="8"/>
      <c r="H164" s="8"/>
      <c r="L164" s="8"/>
      <c r="P164" s="8"/>
    </row>
    <row r="165" ht="14.25" customHeight="1">
      <c r="D165" s="8"/>
      <c r="H165" s="8"/>
      <c r="L165" s="8"/>
      <c r="P165" s="8"/>
    </row>
    <row r="166" ht="14.25" customHeight="1">
      <c r="D166" s="8"/>
      <c r="H166" s="8"/>
      <c r="L166" s="8"/>
      <c r="P166" s="8"/>
    </row>
    <row r="167" ht="14.25" customHeight="1">
      <c r="D167" s="8"/>
      <c r="H167" s="8"/>
      <c r="L167" s="8"/>
      <c r="P167" s="8"/>
    </row>
    <row r="168" ht="14.25" customHeight="1">
      <c r="D168" s="8"/>
      <c r="H168" s="8"/>
      <c r="L168" s="8"/>
      <c r="P168" s="8"/>
    </row>
    <row r="169" ht="14.25" customHeight="1">
      <c r="D169" s="8"/>
      <c r="H169" s="8"/>
      <c r="L169" s="8"/>
      <c r="P169" s="8"/>
    </row>
    <row r="170" ht="14.25" customHeight="1">
      <c r="D170" s="8"/>
      <c r="H170" s="8"/>
      <c r="L170" s="8"/>
      <c r="P170" s="8"/>
    </row>
    <row r="171" ht="14.25" customHeight="1">
      <c r="D171" s="8"/>
      <c r="H171" s="8"/>
      <c r="L171" s="8"/>
      <c r="P171" s="8"/>
    </row>
    <row r="172" ht="14.25" customHeight="1">
      <c r="D172" s="8"/>
      <c r="H172" s="8"/>
      <c r="L172" s="8"/>
      <c r="P172" s="8"/>
    </row>
    <row r="173" ht="14.25" customHeight="1">
      <c r="D173" s="8"/>
      <c r="H173" s="8"/>
      <c r="L173" s="8"/>
      <c r="P173" s="8"/>
    </row>
    <row r="174" ht="14.25" customHeight="1">
      <c r="D174" s="8"/>
      <c r="H174" s="8"/>
      <c r="L174" s="8"/>
      <c r="P174" s="8"/>
    </row>
    <row r="175" ht="14.25" customHeight="1">
      <c r="D175" s="8"/>
      <c r="H175" s="8"/>
      <c r="L175" s="8"/>
      <c r="P175" s="8"/>
    </row>
    <row r="176" ht="14.25" customHeight="1">
      <c r="D176" s="8"/>
      <c r="H176" s="8"/>
      <c r="L176" s="8"/>
      <c r="P176" s="8"/>
    </row>
    <row r="177" ht="14.25" customHeight="1">
      <c r="D177" s="8"/>
      <c r="H177" s="8"/>
      <c r="L177" s="8"/>
      <c r="P177" s="8"/>
    </row>
    <row r="178" ht="14.25" customHeight="1">
      <c r="D178" s="8"/>
      <c r="H178" s="8"/>
      <c r="L178" s="8"/>
      <c r="P178" s="8"/>
    </row>
    <row r="179" ht="14.25" customHeight="1">
      <c r="D179" s="8"/>
      <c r="H179" s="8"/>
      <c r="L179" s="8"/>
      <c r="P179" s="8"/>
    </row>
    <row r="180" ht="14.25" customHeight="1">
      <c r="D180" s="8"/>
      <c r="H180" s="8"/>
      <c r="L180" s="8"/>
      <c r="P180" s="8"/>
    </row>
    <row r="181" ht="14.25" customHeight="1">
      <c r="D181" s="8"/>
      <c r="H181" s="8"/>
      <c r="L181" s="8"/>
      <c r="P181" s="8"/>
    </row>
    <row r="182" ht="14.25" customHeight="1">
      <c r="D182" s="8"/>
      <c r="H182" s="8"/>
      <c r="L182" s="8"/>
      <c r="P182" s="8"/>
    </row>
    <row r="183" ht="14.25" customHeight="1">
      <c r="D183" s="8"/>
      <c r="H183" s="8"/>
      <c r="L183" s="8"/>
      <c r="P183" s="8"/>
    </row>
    <row r="184" ht="14.25" customHeight="1">
      <c r="D184" s="8"/>
      <c r="H184" s="8"/>
      <c r="L184" s="8"/>
      <c r="P184" s="8"/>
    </row>
    <row r="185" ht="14.25" customHeight="1">
      <c r="D185" s="8"/>
      <c r="H185" s="8"/>
      <c r="L185" s="8"/>
      <c r="P185" s="8"/>
    </row>
    <row r="186" ht="14.25" customHeight="1">
      <c r="D186" s="8"/>
      <c r="H186" s="8"/>
      <c r="L186" s="8"/>
      <c r="P186" s="8"/>
    </row>
    <row r="187" ht="14.25" customHeight="1">
      <c r="D187" s="8"/>
      <c r="H187" s="8"/>
      <c r="L187" s="8"/>
      <c r="P187" s="8"/>
    </row>
    <row r="188" ht="14.25" customHeight="1">
      <c r="D188" s="8"/>
      <c r="H188" s="8"/>
      <c r="L188" s="8"/>
      <c r="P188" s="8"/>
    </row>
    <row r="189" ht="14.25" customHeight="1">
      <c r="D189" s="8"/>
      <c r="H189" s="8"/>
      <c r="L189" s="8"/>
      <c r="P189" s="8"/>
    </row>
    <row r="190" ht="14.25" customHeight="1">
      <c r="D190" s="8"/>
      <c r="H190" s="8"/>
      <c r="L190" s="8"/>
      <c r="P190" s="8"/>
    </row>
    <row r="191" ht="14.25" customHeight="1">
      <c r="D191" s="8"/>
      <c r="H191" s="8"/>
      <c r="L191" s="8"/>
      <c r="P191" s="8"/>
    </row>
    <row r="192" ht="14.25" customHeight="1">
      <c r="D192" s="8"/>
      <c r="H192" s="8"/>
      <c r="L192" s="8"/>
      <c r="P192" s="8"/>
    </row>
    <row r="193" ht="14.25" customHeight="1">
      <c r="D193" s="8"/>
      <c r="H193" s="8"/>
      <c r="L193" s="8"/>
      <c r="P193" s="8"/>
    </row>
    <row r="194" ht="14.25" customHeight="1">
      <c r="D194" s="8"/>
      <c r="H194" s="8"/>
      <c r="L194" s="8"/>
      <c r="P194" s="8"/>
    </row>
    <row r="195" ht="14.25" customHeight="1">
      <c r="D195" s="8"/>
      <c r="H195" s="8"/>
      <c r="L195" s="8"/>
      <c r="P195" s="8"/>
    </row>
    <row r="196" ht="14.25" customHeight="1">
      <c r="D196" s="8"/>
      <c r="H196" s="8"/>
      <c r="L196" s="8"/>
      <c r="P196" s="8"/>
    </row>
    <row r="197" ht="14.25" customHeight="1">
      <c r="D197" s="8"/>
      <c r="H197" s="8"/>
      <c r="L197" s="8"/>
      <c r="P197" s="8"/>
    </row>
    <row r="198" ht="14.25" customHeight="1">
      <c r="D198" s="8"/>
      <c r="H198" s="8"/>
      <c r="L198" s="8"/>
      <c r="P198" s="8"/>
    </row>
    <row r="199" ht="14.25" customHeight="1">
      <c r="D199" s="8"/>
      <c r="H199" s="8"/>
      <c r="L199" s="8"/>
      <c r="P199" s="8"/>
    </row>
    <row r="200" ht="14.25" customHeight="1">
      <c r="D200" s="8"/>
      <c r="H200" s="8"/>
      <c r="L200" s="8"/>
      <c r="P200" s="8"/>
    </row>
    <row r="201" ht="14.25" customHeight="1">
      <c r="D201" s="8"/>
      <c r="H201" s="8"/>
      <c r="L201" s="8"/>
      <c r="P201" s="8"/>
    </row>
    <row r="202" ht="14.25" customHeight="1">
      <c r="D202" s="8"/>
      <c r="H202" s="8"/>
      <c r="L202" s="8"/>
      <c r="P202" s="8"/>
    </row>
    <row r="203" ht="14.25" customHeight="1">
      <c r="D203" s="8"/>
      <c r="H203" s="8"/>
      <c r="L203" s="8"/>
      <c r="P203" s="8"/>
    </row>
    <row r="204" ht="14.25" customHeight="1">
      <c r="D204" s="8"/>
      <c r="H204" s="8"/>
      <c r="L204" s="8"/>
      <c r="P204" s="8"/>
    </row>
    <row r="205" ht="14.25" customHeight="1">
      <c r="D205" s="8"/>
      <c r="H205" s="8"/>
      <c r="L205" s="8"/>
      <c r="P205" s="8"/>
    </row>
    <row r="206" ht="14.25" customHeight="1">
      <c r="D206" s="8"/>
      <c r="H206" s="8"/>
      <c r="L206" s="8"/>
      <c r="P206" s="8"/>
    </row>
    <row r="207" ht="14.25" customHeight="1">
      <c r="D207" s="8"/>
      <c r="H207" s="8"/>
      <c r="L207" s="8"/>
      <c r="P207" s="8"/>
    </row>
    <row r="208" ht="14.25" customHeight="1">
      <c r="D208" s="8"/>
      <c r="H208" s="8"/>
      <c r="L208" s="8"/>
      <c r="P208" s="8"/>
    </row>
    <row r="209" ht="14.25" customHeight="1">
      <c r="D209" s="8"/>
      <c r="H209" s="8"/>
      <c r="L209" s="8"/>
      <c r="P209" s="8"/>
    </row>
    <row r="210" ht="14.25" customHeight="1">
      <c r="D210" s="8"/>
      <c r="H210" s="8"/>
      <c r="L210" s="8"/>
      <c r="P210" s="8"/>
    </row>
    <row r="211" ht="14.25" customHeight="1">
      <c r="D211" s="8"/>
      <c r="H211" s="8"/>
      <c r="L211" s="8"/>
      <c r="P211" s="8"/>
    </row>
    <row r="212" ht="14.25" customHeight="1">
      <c r="D212" s="8"/>
      <c r="H212" s="8"/>
      <c r="L212" s="8"/>
      <c r="P212" s="8"/>
    </row>
    <row r="213" ht="14.25" customHeight="1">
      <c r="D213" s="8"/>
      <c r="H213" s="8"/>
      <c r="L213" s="8"/>
      <c r="P213" s="8"/>
    </row>
    <row r="214" ht="14.25" customHeight="1">
      <c r="D214" s="8"/>
      <c r="H214" s="8"/>
      <c r="L214" s="8"/>
      <c r="P214" s="8"/>
    </row>
    <row r="215" ht="14.25" customHeight="1">
      <c r="D215" s="8"/>
      <c r="H215" s="8"/>
      <c r="L215" s="8"/>
      <c r="P215" s="8"/>
    </row>
    <row r="216" ht="14.25" customHeight="1">
      <c r="D216" s="8"/>
      <c r="H216" s="8"/>
      <c r="L216" s="8"/>
      <c r="P216" s="8"/>
    </row>
    <row r="217" ht="14.25" customHeight="1">
      <c r="D217" s="8"/>
      <c r="H217" s="8"/>
      <c r="L217" s="8"/>
      <c r="P217" s="8"/>
    </row>
    <row r="218" ht="14.25" customHeight="1">
      <c r="D218" s="8"/>
      <c r="H218" s="8"/>
      <c r="L218" s="8"/>
      <c r="P218" s="8"/>
    </row>
    <row r="219" ht="14.25" customHeight="1">
      <c r="D219" s="8"/>
      <c r="H219" s="8"/>
      <c r="L219" s="8"/>
      <c r="P219" s="8"/>
    </row>
    <row r="220" ht="14.25" customHeight="1">
      <c r="D220" s="8"/>
      <c r="H220" s="8"/>
      <c r="L220" s="8"/>
      <c r="P220" s="8"/>
    </row>
    <row r="221" ht="14.25" customHeight="1">
      <c r="D221" s="8"/>
      <c r="H221" s="8"/>
      <c r="L221" s="8"/>
      <c r="P221" s="8"/>
    </row>
    <row r="222" ht="14.25" customHeight="1">
      <c r="D222" s="8"/>
      <c r="H222" s="8"/>
      <c r="L222" s="8"/>
      <c r="P222" s="8"/>
    </row>
    <row r="223" ht="14.25" customHeight="1">
      <c r="D223" s="8"/>
      <c r="H223" s="8"/>
      <c r="L223" s="8"/>
      <c r="P223" s="8"/>
    </row>
    <row r="224" ht="14.25" customHeight="1">
      <c r="D224" s="8"/>
      <c r="H224" s="8"/>
      <c r="L224" s="8"/>
      <c r="P224" s="8"/>
    </row>
    <row r="225" ht="14.25" customHeight="1">
      <c r="D225" s="8"/>
      <c r="H225" s="8"/>
      <c r="L225" s="8"/>
      <c r="P225" s="8"/>
    </row>
    <row r="226" ht="14.25" customHeight="1">
      <c r="D226" s="8"/>
      <c r="H226" s="8"/>
      <c r="L226" s="8"/>
      <c r="P226" s="8"/>
    </row>
    <row r="227" ht="14.25" customHeight="1">
      <c r="D227" s="8"/>
      <c r="H227" s="8"/>
      <c r="L227" s="8"/>
      <c r="P227" s="8"/>
    </row>
    <row r="228" ht="14.25" customHeight="1">
      <c r="D228" s="8"/>
      <c r="H228" s="8"/>
      <c r="L228" s="8"/>
      <c r="P228" s="8"/>
    </row>
    <row r="229" ht="14.25" customHeight="1">
      <c r="D229" s="8"/>
      <c r="H229" s="8"/>
      <c r="L229" s="8"/>
      <c r="P229" s="8"/>
    </row>
    <row r="230" ht="14.25" customHeight="1">
      <c r="D230" s="8"/>
      <c r="H230" s="8"/>
      <c r="L230" s="8"/>
      <c r="P230" s="8"/>
    </row>
    <row r="231" ht="14.25" customHeight="1">
      <c r="D231" s="8"/>
      <c r="H231" s="8"/>
      <c r="L231" s="8"/>
      <c r="P231" s="8"/>
    </row>
    <row r="232" ht="14.25" customHeight="1">
      <c r="D232" s="8"/>
      <c r="H232" s="8"/>
      <c r="L232" s="8"/>
      <c r="P232" s="8"/>
    </row>
    <row r="233" ht="14.25" customHeight="1">
      <c r="D233" s="8"/>
      <c r="H233" s="8"/>
      <c r="L233" s="8"/>
      <c r="P233" s="8"/>
    </row>
    <row r="234" ht="14.25" customHeight="1">
      <c r="D234" s="8"/>
      <c r="H234" s="8"/>
      <c r="L234" s="8"/>
      <c r="P234" s="8"/>
    </row>
    <row r="235" ht="14.25" customHeight="1">
      <c r="D235" s="8"/>
      <c r="H235" s="8"/>
      <c r="L235" s="8"/>
      <c r="P235" s="8"/>
    </row>
    <row r="236" ht="14.25" customHeight="1">
      <c r="D236" s="8"/>
      <c r="H236" s="8"/>
      <c r="L236" s="8"/>
      <c r="P236" s="8"/>
    </row>
    <row r="237" ht="14.25" customHeight="1">
      <c r="D237" s="8"/>
      <c r="H237" s="8"/>
      <c r="L237" s="8"/>
      <c r="P237" s="8"/>
    </row>
    <row r="238" ht="14.25" customHeight="1">
      <c r="D238" s="8"/>
      <c r="H238" s="8"/>
      <c r="L238" s="8"/>
      <c r="P238" s="8"/>
    </row>
    <row r="239" ht="14.25" customHeight="1">
      <c r="D239" s="8"/>
      <c r="H239" s="8"/>
      <c r="L239" s="8"/>
      <c r="P239" s="8"/>
    </row>
    <row r="240" ht="14.25" customHeight="1">
      <c r="D240" s="8"/>
      <c r="H240" s="8"/>
      <c r="L240" s="8"/>
      <c r="P240" s="8"/>
    </row>
    <row r="241" ht="14.25" customHeight="1">
      <c r="D241" s="8"/>
      <c r="H241" s="8"/>
      <c r="L241" s="8"/>
      <c r="P241" s="8"/>
    </row>
    <row r="242" ht="14.25" customHeight="1">
      <c r="D242" s="8"/>
      <c r="H242" s="8"/>
      <c r="L242" s="8"/>
      <c r="P242" s="8"/>
    </row>
    <row r="243" ht="14.25" customHeight="1">
      <c r="D243" s="8"/>
      <c r="H243" s="8"/>
      <c r="L243" s="8"/>
      <c r="P243" s="8"/>
    </row>
    <row r="244" ht="14.25" customHeight="1">
      <c r="D244" s="8"/>
      <c r="H244" s="8"/>
      <c r="L244" s="8"/>
      <c r="P244" s="8"/>
    </row>
    <row r="245" ht="14.25" customHeight="1">
      <c r="D245" s="8"/>
      <c r="H245" s="8"/>
      <c r="L245" s="8"/>
      <c r="P245" s="8"/>
    </row>
    <row r="246" ht="14.25" customHeight="1">
      <c r="D246" s="8"/>
      <c r="H246" s="8"/>
      <c r="L246" s="8"/>
      <c r="P246" s="8"/>
    </row>
    <row r="247" ht="14.25" customHeight="1">
      <c r="D247" s="8"/>
      <c r="H247" s="8"/>
      <c r="L247" s="8"/>
      <c r="P247" s="8"/>
    </row>
    <row r="248" ht="14.25" customHeight="1">
      <c r="D248" s="8"/>
      <c r="H248" s="8"/>
      <c r="L248" s="8"/>
      <c r="P248" s="8"/>
    </row>
    <row r="249" ht="14.25" customHeight="1">
      <c r="D249" s="8"/>
      <c r="H249" s="8"/>
      <c r="L249" s="8"/>
      <c r="P249" s="8"/>
    </row>
    <row r="250" ht="14.25" customHeight="1">
      <c r="D250" s="8"/>
      <c r="H250" s="8"/>
      <c r="L250" s="8"/>
      <c r="P250" s="8"/>
    </row>
    <row r="251" ht="14.25" customHeight="1">
      <c r="D251" s="8"/>
      <c r="H251" s="8"/>
      <c r="L251" s="8"/>
      <c r="P251" s="8"/>
    </row>
    <row r="252" ht="14.25" customHeight="1">
      <c r="D252" s="8"/>
      <c r="H252" s="8"/>
      <c r="L252" s="8"/>
      <c r="P252" s="8"/>
    </row>
    <row r="253" ht="14.25" customHeight="1">
      <c r="D253" s="8"/>
      <c r="H253" s="8"/>
      <c r="L253" s="8"/>
      <c r="P253" s="8"/>
    </row>
    <row r="254" ht="14.25" customHeight="1">
      <c r="D254" s="8"/>
      <c r="H254" s="8"/>
      <c r="L254" s="8"/>
      <c r="P254" s="8"/>
    </row>
    <row r="255" ht="14.25" customHeight="1">
      <c r="D255" s="8"/>
      <c r="H255" s="8"/>
      <c r="L255" s="8"/>
      <c r="P255" s="8"/>
    </row>
    <row r="256" ht="14.25" customHeight="1">
      <c r="D256" s="8"/>
      <c r="H256" s="8"/>
      <c r="L256" s="8"/>
      <c r="P256" s="8"/>
    </row>
    <row r="257" ht="14.25" customHeight="1">
      <c r="D257" s="8"/>
      <c r="H257" s="8"/>
      <c r="L257" s="8"/>
      <c r="P257" s="8"/>
    </row>
    <row r="258" ht="14.25" customHeight="1">
      <c r="D258" s="8"/>
      <c r="H258" s="8"/>
      <c r="L258" s="8"/>
      <c r="P258" s="8"/>
    </row>
    <row r="259" ht="14.25" customHeight="1">
      <c r="D259" s="8"/>
      <c r="H259" s="8"/>
      <c r="L259" s="8"/>
      <c r="P259" s="8"/>
    </row>
    <row r="260" ht="14.25" customHeight="1">
      <c r="D260" s="8"/>
      <c r="H260" s="8"/>
      <c r="L260" s="8"/>
      <c r="P260" s="8"/>
    </row>
    <row r="261" ht="14.25" customHeight="1">
      <c r="D261" s="8"/>
      <c r="H261" s="8"/>
      <c r="L261" s="8"/>
      <c r="P261" s="8"/>
    </row>
    <row r="262" ht="14.25" customHeight="1">
      <c r="D262" s="8"/>
      <c r="H262" s="8"/>
      <c r="L262" s="8"/>
      <c r="P262" s="8"/>
    </row>
    <row r="263" ht="14.25" customHeight="1">
      <c r="D263" s="8"/>
      <c r="H263" s="8"/>
      <c r="L263" s="8"/>
      <c r="P263" s="8"/>
    </row>
    <row r="264" ht="14.25" customHeight="1">
      <c r="D264" s="8"/>
      <c r="H264" s="8"/>
      <c r="L264" s="8"/>
      <c r="P264" s="8"/>
    </row>
    <row r="265" ht="14.25" customHeight="1">
      <c r="D265" s="8"/>
      <c r="H265" s="8"/>
      <c r="L265" s="8"/>
      <c r="P265" s="8"/>
    </row>
    <row r="266" ht="14.25" customHeight="1">
      <c r="D266" s="8"/>
      <c r="H266" s="8"/>
      <c r="L266" s="8"/>
      <c r="P266" s="8"/>
    </row>
    <row r="267" ht="14.25" customHeight="1">
      <c r="D267" s="8"/>
      <c r="H267" s="8"/>
      <c r="L267" s="8"/>
      <c r="P267" s="8"/>
    </row>
    <row r="268" ht="14.25" customHeight="1">
      <c r="D268" s="8"/>
      <c r="H268" s="8"/>
      <c r="L268" s="8"/>
      <c r="P268" s="8"/>
    </row>
    <row r="269" ht="14.25" customHeight="1">
      <c r="D269" s="8"/>
      <c r="H269" s="8"/>
      <c r="L269" s="8"/>
      <c r="P269" s="8"/>
    </row>
    <row r="270" ht="14.25" customHeight="1">
      <c r="D270" s="8"/>
      <c r="H270" s="8"/>
      <c r="L270" s="8"/>
      <c r="P270" s="8"/>
    </row>
    <row r="271" ht="14.25" customHeight="1">
      <c r="D271" s="8"/>
      <c r="H271" s="8"/>
      <c r="L271" s="8"/>
      <c r="P271" s="8"/>
    </row>
    <row r="272" ht="14.25" customHeight="1">
      <c r="D272" s="8"/>
      <c r="H272" s="8"/>
      <c r="L272" s="8"/>
      <c r="P272" s="8"/>
    </row>
    <row r="273" ht="14.25" customHeight="1">
      <c r="D273" s="8"/>
      <c r="H273" s="8"/>
      <c r="L273" s="8"/>
      <c r="P273" s="8"/>
    </row>
    <row r="274" ht="14.25" customHeight="1">
      <c r="D274" s="8"/>
      <c r="H274" s="8"/>
      <c r="L274" s="8"/>
      <c r="P274" s="8"/>
    </row>
    <row r="275" ht="14.25" customHeight="1">
      <c r="D275" s="8"/>
      <c r="H275" s="8"/>
      <c r="L275" s="8"/>
      <c r="P275" s="8"/>
    </row>
    <row r="276" ht="14.25" customHeight="1">
      <c r="D276" s="8"/>
      <c r="H276" s="8"/>
      <c r="L276" s="8"/>
      <c r="P276" s="8"/>
    </row>
    <row r="277" ht="14.25" customHeight="1">
      <c r="D277" s="8"/>
      <c r="H277" s="8"/>
      <c r="L277" s="8"/>
      <c r="P277" s="8"/>
    </row>
    <row r="278" ht="14.25" customHeight="1">
      <c r="D278" s="8"/>
      <c r="H278" s="8"/>
      <c r="L278" s="8"/>
      <c r="P278" s="8"/>
    </row>
    <row r="279" ht="14.25" customHeight="1">
      <c r="D279" s="8"/>
      <c r="H279" s="8"/>
      <c r="L279" s="8"/>
      <c r="P279" s="8"/>
    </row>
    <row r="280" ht="14.25" customHeight="1">
      <c r="D280" s="8"/>
      <c r="H280" s="8"/>
      <c r="L280" s="8"/>
      <c r="P280" s="8"/>
    </row>
    <row r="281" ht="14.25" customHeight="1">
      <c r="D281" s="8"/>
      <c r="H281" s="8"/>
      <c r="L281" s="8"/>
      <c r="P281" s="8"/>
    </row>
    <row r="282" ht="14.25" customHeight="1">
      <c r="D282" s="8"/>
      <c r="H282" s="8"/>
      <c r="L282" s="8"/>
      <c r="P282" s="8"/>
    </row>
    <row r="283" ht="14.25" customHeight="1">
      <c r="D283" s="8"/>
      <c r="H283" s="8"/>
      <c r="L283" s="8"/>
      <c r="P283" s="8"/>
    </row>
    <row r="284" ht="14.25" customHeight="1">
      <c r="D284" s="8"/>
      <c r="H284" s="8"/>
      <c r="L284" s="8"/>
      <c r="P284" s="8"/>
    </row>
    <row r="285" ht="14.25" customHeight="1">
      <c r="D285" s="8"/>
      <c r="H285" s="8"/>
      <c r="L285" s="8"/>
      <c r="P285" s="8"/>
    </row>
    <row r="286" ht="14.25" customHeight="1">
      <c r="D286" s="8"/>
      <c r="H286" s="8"/>
      <c r="L286" s="8"/>
      <c r="P286" s="8"/>
    </row>
    <row r="287" ht="14.25" customHeight="1">
      <c r="D287" s="8"/>
      <c r="H287" s="8"/>
      <c r="L287" s="8"/>
      <c r="P287" s="8"/>
    </row>
    <row r="288" ht="14.25" customHeight="1">
      <c r="D288" s="8"/>
      <c r="H288" s="8"/>
      <c r="L288" s="8"/>
      <c r="P288" s="8"/>
    </row>
    <row r="289" ht="14.25" customHeight="1">
      <c r="D289" s="8"/>
      <c r="H289" s="8"/>
      <c r="L289" s="8"/>
      <c r="P289" s="8"/>
    </row>
    <row r="290" ht="14.25" customHeight="1">
      <c r="D290" s="8"/>
      <c r="H290" s="8"/>
      <c r="L290" s="8"/>
      <c r="P290" s="8"/>
    </row>
    <row r="291" ht="14.25" customHeight="1">
      <c r="D291" s="8"/>
      <c r="H291" s="8"/>
      <c r="L291" s="8"/>
      <c r="P291" s="8"/>
    </row>
    <row r="292" ht="14.25" customHeight="1">
      <c r="D292" s="8"/>
      <c r="H292" s="8"/>
      <c r="L292" s="8"/>
      <c r="P292" s="8"/>
    </row>
    <row r="293" ht="14.25" customHeight="1">
      <c r="D293" s="8"/>
      <c r="H293" s="8"/>
      <c r="L293" s="8"/>
      <c r="P293" s="8"/>
    </row>
    <row r="294" ht="14.25" customHeight="1">
      <c r="D294" s="8"/>
      <c r="H294" s="8"/>
      <c r="L294" s="8"/>
      <c r="P294" s="8"/>
    </row>
    <row r="295" ht="14.25" customHeight="1">
      <c r="D295" s="8"/>
      <c r="H295" s="8"/>
      <c r="L295" s="8"/>
      <c r="P295" s="8"/>
    </row>
    <row r="296" ht="14.25" customHeight="1">
      <c r="D296" s="8"/>
      <c r="H296" s="8"/>
      <c r="L296" s="8"/>
      <c r="P296" s="8"/>
    </row>
    <row r="297" ht="14.25" customHeight="1">
      <c r="D297" s="8"/>
      <c r="H297" s="8"/>
      <c r="L297" s="8"/>
      <c r="P297" s="8"/>
    </row>
    <row r="298" ht="14.25" customHeight="1">
      <c r="D298" s="8"/>
      <c r="H298" s="8"/>
      <c r="L298" s="8"/>
      <c r="P298" s="8"/>
    </row>
    <row r="299" ht="14.25" customHeight="1">
      <c r="D299" s="8"/>
      <c r="H299" s="8"/>
      <c r="L299" s="8"/>
      <c r="P299" s="8"/>
    </row>
    <row r="300" ht="14.25" customHeight="1">
      <c r="D300" s="8"/>
      <c r="H300" s="8"/>
      <c r="L300" s="8"/>
      <c r="P300" s="8"/>
    </row>
    <row r="301" ht="14.25" customHeight="1">
      <c r="D301" s="8"/>
      <c r="H301" s="8"/>
      <c r="L301" s="8"/>
      <c r="P301" s="8"/>
    </row>
    <row r="302" ht="14.25" customHeight="1">
      <c r="D302" s="8"/>
      <c r="H302" s="8"/>
      <c r="L302" s="8"/>
      <c r="P302" s="8"/>
    </row>
    <row r="303" ht="14.25" customHeight="1">
      <c r="D303" s="8"/>
      <c r="H303" s="8"/>
      <c r="L303" s="8"/>
      <c r="P303" s="8"/>
    </row>
    <row r="304" ht="14.25" customHeight="1">
      <c r="D304" s="8"/>
      <c r="H304" s="8"/>
      <c r="L304" s="8"/>
      <c r="P304" s="8"/>
    </row>
    <row r="305" ht="14.25" customHeight="1">
      <c r="D305" s="8"/>
      <c r="H305" s="8"/>
      <c r="L305" s="8"/>
      <c r="P305" s="8"/>
    </row>
    <row r="306" ht="14.25" customHeight="1">
      <c r="D306" s="8"/>
      <c r="H306" s="8"/>
      <c r="L306" s="8"/>
      <c r="P306" s="8"/>
    </row>
    <row r="307" ht="14.25" customHeight="1">
      <c r="D307" s="8"/>
      <c r="H307" s="8"/>
      <c r="L307" s="8"/>
      <c r="P307" s="8"/>
    </row>
    <row r="308" ht="14.25" customHeight="1">
      <c r="D308" s="8"/>
      <c r="H308" s="8"/>
      <c r="L308" s="8"/>
      <c r="P308" s="8"/>
    </row>
    <row r="309" ht="14.25" customHeight="1">
      <c r="D309" s="8"/>
      <c r="H309" s="8"/>
      <c r="L309" s="8"/>
      <c r="P309" s="8"/>
    </row>
    <row r="310" ht="14.25" customHeight="1">
      <c r="D310" s="8"/>
      <c r="H310" s="8"/>
      <c r="L310" s="8"/>
      <c r="P310" s="8"/>
    </row>
    <row r="311" ht="14.25" customHeight="1">
      <c r="D311" s="8"/>
      <c r="H311" s="8"/>
      <c r="L311" s="8"/>
      <c r="P311" s="8"/>
    </row>
    <row r="312" ht="14.25" customHeight="1">
      <c r="D312" s="8"/>
      <c r="H312" s="8"/>
      <c r="L312" s="8"/>
      <c r="P312" s="8"/>
    </row>
    <row r="313" ht="14.25" customHeight="1">
      <c r="D313" s="8"/>
      <c r="H313" s="8"/>
      <c r="L313" s="8"/>
      <c r="P313" s="8"/>
    </row>
    <row r="314" ht="14.25" customHeight="1">
      <c r="D314" s="8"/>
      <c r="H314" s="8"/>
      <c r="L314" s="8"/>
      <c r="P314" s="8"/>
    </row>
    <row r="315" ht="14.25" customHeight="1">
      <c r="D315" s="8"/>
      <c r="H315" s="8"/>
      <c r="L315" s="8"/>
      <c r="P315" s="8"/>
    </row>
    <row r="316" ht="14.25" customHeight="1">
      <c r="D316" s="8"/>
      <c r="H316" s="8"/>
      <c r="L316" s="8"/>
      <c r="P316" s="8"/>
    </row>
    <row r="317" ht="14.25" customHeight="1">
      <c r="D317" s="8"/>
      <c r="H317" s="8"/>
      <c r="L317" s="8"/>
      <c r="P317" s="8"/>
    </row>
    <row r="318" ht="14.25" customHeight="1">
      <c r="D318" s="8"/>
      <c r="H318" s="8"/>
      <c r="L318" s="8"/>
      <c r="P318" s="8"/>
    </row>
    <row r="319" ht="14.25" customHeight="1">
      <c r="D319" s="8"/>
      <c r="H319" s="8"/>
      <c r="L319" s="8"/>
      <c r="P319" s="8"/>
    </row>
    <row r="320" ht="14.25" customHeight="1">
      <c r="D320" s="8"/>
      <c r="H320" s="8"/>
      <c r="L320" s="8"/>
      <c r="P320" s="8"/>
    </row>
    <row r="321" ht="14.25" customHeight="1">
      <c r="D321" s="8"/>
      <c r="H321" s="8"/>
      <c r="L321" s="8"/>
      <c r="P321" s="8"/>
    </row>
    <row r="322" ht="14.25" customHeight="1">
      <c r="D322" s="8"/>
      <c r="H322" s="8"/>
      <c r="L322" s="8"/>
      <c r="P322" s="8"/>
    </row>
    <row r="323" ht="14.25" customHeight="1">
      <c r="D323" s="8"/>
      <c r="H323" s="8"/>
      <c r="L323" s="8"/>
      <c r="P323" s="8"/>
    </row>
    <row r="324" ht="14.25" customHeight="1">
      <c r="D324" s="8"/>
      <c r="H324" s="8"/>
      <c r="L324" s="8"/>
      <c r="P324" s="8"/>
    </row>
    <row r="325" ht="14.25" customHeight="1">
      <c r="D325" s="8"/>
      <c r="H325" s="8"/>
      <c r="L325" s="8"/>
      <c r="P325" s="8"/>
    </row>
    <row r="326" ht="14.25" customHeight="1">
      <c r="D326" s="8"/>
      <c r="H326" s="8"/>
      <c r="L326" s="8"/>
      <c r="P326" s="8"/>
    </row>
    <row r="327" ht="14.25" customHeight="1">
      <c r="D327" s="8"/>
      <c r="H327" s="8"/>
      <c r="L327" s="8"/>
      <c r="P327" s="8"/>
    </row>
    <row r="328" ht="14.25" customHeight="1">
      <c r="D328" s="8"/>
      <c r="H328" s="8"/>
      <c r="L328" s="8"/>
      <c r="P328" s="8"/>
    </row>
    <row r="329" ht="14.25" customHeight="1">
      <c r="D329" s="8"/>
      <c r="H329" s="8"/>
      <c r="L329" s="8"/>
      <c r="P329" s="8"/>
    </row>
    <row r="330" ht="14.25" customHeight="1">
      <c r="D330" s="8"/>
      <c r="H330" s="8"/>
      <c r="L330" s="8"/>
      <c r="P330" s="8"/>
    </row>
    <row r="331" ht="14.25" customHeight="1">
      <c r="D331" s="8"/>
      <c r="H331" s="8"/>
      <c r="L331" s="8"/>
      <c r="P331" s="8"/>
    </row>
    <row r="332" ht="14.25" customHeight="1">
      <c r="D332" s="8"/>
      <c r="H332" s="8"/>
      <c r="L332" s="8"/>
      <c r="P332" s="8"/>
    </row>
    <row r="333" ht="14.25" customHeight="1">
      <c r="D333" s="8"/>
      <c r="H333" s="8"/>
      <c r="L333" s="8"/>
      <c r="P333" s="8"/>
    </row>
    <row r="334" ht="14.25" customHeight="1">
      <c r="D334" s="8"/>
      <c r="H334" s="8"/>
      <c r="L334" s="8"/>
      <c r="P334" s="8"/>
    </row>
    <row r="335" ht="14.25" customHeight="1">
      <c r="D335" s="8"/>
      <c r="H335" s="8"/>
      <c r="L335" s="8"/>
      <c r="P335" s="8"/>
    </row>
    <row r="336" ht="14.25" customHeight="1">
      <c r="D336" s="8"/>
      <c r="H336" s="8"/>
      <c r="L336" s="8"/>
      <c r="P336" s="8"/>
    </row>
    <row r="337" ht="14.25" customHeight="1">
      <c r="D337" s="8"/>
      <c r="H337" s="8"/>
      <c r="L337" s="8"/>
      <c r="P337" s="8"/>
    </row>
    <row r="338" ht="14.25" customHeight="1">
      <c r="D338" s="8"/>
      <c r="H338" s="8"/>
      <c r="L338" s="8"/>
      <c r="P338" s="8"/>
    </row>
    <row r="339" ht="14.25" customHeight="1">
      <c r="D339" s="8"/>
      <c r="H339" s="8"/>
      <c r="L339" s="8"/>
      <c r="P339" s="8"/>
    </row>
    <row r="340" ht="14.25" customHeight="1">
      <c r="D340" s="8"/>
      <c r="H340" s="8"/>
      <c r="L340" s="8"/>
      <c r="P340" s="8"/>
    </row>
    <row r="341" ht="14.25" customHeight="1">
      <c r="D341" s="8"/>
      <c r="H341" s="8"/>
      <c r="L341" s="8"/>
      <c r="P341" s="8"/>
    </row>
    <row r="342" ht="14.25" customHeight="1">
      <c r="D342" s="8"/>
      <c r="H342" s="8"/>
      <c r="L342" s="8"/>
      <c r="P342" s="8"/>
    </row>
    <row r="343" ht="14.25" customHeight="1">
      <c r="D343" s="8"/>
      <c r="H343" s="8"/>
      <c r="L343" s="8"/>
      <c r="P343" s="8"/>
    </row>
    <row r="344" ht="14.25" customHeight="1">
      <c r="D344" s="8"/>
      <c r="H344" s="8"/>
      <c r="L344" s="8"/>
      <c r="P344" s="8"/>
    </row>
    <row r="345" ht="14.25" customHeight="1">
      <c r="D345" s="8"/>
      <c r="H345" s="8"/>
      <c r="L345" s="8"/>
      <c r="P345" s="8"/>
    </row>
    <row r="346" ht="14.25" customHeight="1">
      <c r="D346" s="8"/>
      <c r="H346" s="8"/>
      <c r="L346" s="8"/>
      <c r="P346" s="8"/>
    </row>
    <row r="347" ht="14.25" customHeight="1">
      <c r="D347" s="8"/>
      <c r="H347" s="8"/>
      <c r="L347" s="8"/>
      <c r="P347" s="8"/>
    </row>
    <row r="348" ht="14.25" customHeight="1">
      <c r="D348" s="8"/>
      <c r="H348" s="8"/>
      <c r="L348" s="8"/>
      <c r="P348" s="8"/>
    </row>
    <row r="349" ht="14.25" customHeight="1">
      <c r="D349" s="8"/>
      <c r="H349" s="8"/>
      <c r="L349" s="8"/>
      <c r="P349" s="8"/>
    </row>
    <row r="350" ht="14.25" customHeight="1">
      <c r="D350" s="8"/>
      <c r="H350" s="8"/>
      <c r="L350" s="8"/>
      <c r="P350" s="8"/>
    </row>
    <row r="351" ht="14.25" customHeight="1">
      <c r="D351" s="8"/>
      <c r="H351" s="8"/>
      <c r="L351" s="8"/>
      <c r="P351" s="8"/>
    </row>
    <row r="352" ht="14.25" customHeight="1">
      <c r="D352" s="8"/>
      <c r="H352" s="8"/>
      <c r="L352" s="8"/>
      <c r="P352" s="8"/>
    </row>
    <row r="353" ht="14.25" customHeight="1">
      <c r="D353" s="8"/>
      <c r="H353" s="8"/>
      <c r="L353" s="8"/>
      <c r="P353" s="8"/>
    </row>
    <row r="354" ht="14.25" customHeight="1">
      <c r="D354" s="8"/>
      <c r="H354" s="8"/>
      <c r="L354" s="8"/>
      <c r="P354" s="8"/>
    </row>
    <row r="355" ht="14.25" customHeight="1">
      <c r="D355" s="8"/>
      <c r="H355" s="8"/>
      <c r="L355" s="8"/>
      <c r="P355" s="8"/>
    </row>
    <row r="356" ht="14.25" customHeight="1">
      <c r="D356" s="8"/>
      <c r="H356" s="8"/>
      <c r="L356" s="8"/>
      <c r="P356" s="8"/>
    </row>
    <row r="357" ht="14.25" customHeight="1">
      <c r="D357" s="8"/>
      <c r="H357" s="8"/>
      <c r="L357" s="8"/>
      <c r="P357" s="8"/>
    </row>
    <row r="358" ht="14.25" customHeight="1">
      <c r="D358" s="8"/>
      <c r="H358" s="8"/>
      <c r="L358" s="8"/>
      <c r="P358" s="8"/>
    </row>
    <row r="359" ht="14.25" customHeight="1">
      <c r="D359" s="8"/>
      <c r="H359" s="8"/>
      <c r="L359" s="8"/>
      <c r="P359" s="8"/>
    </row>
    <row r="360" ht="14.25" customHeight="1">
      <c r="D360" s="8"/>
      <c r="H360" s="8"/>
      <c r="L360" s="8"/>
      <c r="P360" s="8"/>
    </row>
    <row r="361" ht="14.25" customHeight="1">
      <c r="D361" s="8"/>
      <c r="H361" s="8"/>
      <c r="L361" s="8"/>
      <c r="P361" s="8"/>
    </row>
    <row r="362" ht="14.25" customHeight="1">
      <c r="D362" s="8"/>
      <c r="H362" s="8"/>
      <c r="L362" s="8"/>
      <c r="P362" s="8"/>
    </row>
    <row r="363" ht="14.25" customHeight="1">
      <c r="D363" s="8"/>
      <c r="H363" s="8"/>
      <c r="L363" s="8"/>
      <c r="P363" s="8"/>
    </row>
    <row r="364" ht="14.25" customHeight="1">
      <c r="D364" s="8"/>
      <c r="H364" s="8"/>
      <c r="L364" s="8"/>
      <c r="P364" s="8"/>
    </row>
    <row r="365" ht="14.25" customHeight="1">
      <c r="D365" s="8"/>
      <c r="H365" s="8"/>
      <c r="L365" s="8"/>
      <c r="P365" s="8"/>
    </row>
    <row r="366" ht="14.25" customHeight="1">
      <c r="D366" s="8"/>
      <c r="H366" s="8"/>
      <c r="L366" s="8"/>
      <c r="P366" s="8"/>
    </row>
    <row r="367" ht="14.25" customHeight="1">
      <c r="D367" s="8"/>
      <c r="H367" s="8"/>
      <c r="L367" s="8"/>
      <c r="P367" s="8"/>
    </row>
    <row r="368" ht="14.25" customHeight="1">
      <c r="D368" s="8"/>
      <c r="H368" s="8"/>
      <c r="L368" s="8"/>
      <c r="P368" s="8"/>
    </row>
    <row r="369" ht="14.25" customHeight="1">
      <c r="D369" s="8"/>
      <c r="H369" s="8"/>
      <c r="L369" s="8"/>
      <c r="P369" s="8"/>
    </row>
    <row r="370" ht="14.25" customHeight="1">
      <c r="D370" s="8"/>
      <c r="H370" s="8"/>
      <c r="L370" s="8"/>
      <c r="P370" s="8"/>
    </row>
    <row r="371" ht="14.25" customHeight="1">
      <c r="D371" s="8"/>
      <c r="H371" s="8"/>
      <c r="L371" s="8"/>
      <c r="P371" s="8"/>
    </row>
    <row r="372" ht="14.25" customHeight="1">
      <c r="D372" s="8"/>
      <c r="H372" s="8"/>
      <c r="L372" s="8"/>
      <c r="P372" s="8"/>
    </row>
    <row r="373" ht="14.25" customHeight="1">
      <c r="D373" s="8"/>
      <c r="H373" s="8"/>
      <c r="L373" s="8"/>
      <c r="P373" s="8"/>
    </row>
    <row r="374" ht="14.25" customHeight="1">
      <c r="D374" s="8"/>
      <c r="H374" s="8"/>
      <c r="L374" s="8"/>
      <c r="P374" s="8"/>
    </row>
    <row r="375" ht="14.25" customHeight="1">
      <c r="D375" s="8"/>
      <c r="H375" s="8"/>
      <c r="L375" s="8"/>
      <c r="P375" s="8"/>
    </row>
    <row r="376" ht="14.25" customHeight="1">
      <c r="D376" s="8"/>
      <c r="H376" s="8"/>
      <c r="L376" s="8"/>
      <c r="P376" s="8"/>
    </row>
    <row r="377" ht="14.25" customHeight="1">
      <c r="D377" s="8"/>
      <c r="H377" s="8"/>
      <c r="L377" s="8"/>
      <c r="P377" s="8"/>
    </row>
    <row r="378" ht="14.25" customHeight="1">
      <c r="D378" s="8"/>
      <c r="H378" s="8"/>
      <c r="L378" s="8"/>
      <c r="P378" s="8"/>
    </row>
    <row r="379" ht="14.25" customHeight="1">
      <c r="D379" s="8"/>
      <c r="H379" s="8"/>
      <c r="L379" s="8"/>
      <c r="P379" s="8"/>
    </row>
    <row r="380" ht="14.25" customHeight="1">
      <c r="D380" s="8"/>
      <c r="H380" s="8"/>
      <c r="L380" s="8"/>
      <c r="P380" s="8"/>
    </row>
    <row r="381" ht="14.25" customHeight="1">
      <c r="D381" s="8"/>
      <c r="H381" s="8"/>
      <c r="L381" s="8"/>
      <c r="P381" s="8"/>
    </row>
    <row r="382" ht="14.25" customHeight="1">
      <c r="D382" s="8"/>
      <c r="H382" s="8"/>
      <c r="L382" s="8"/>
      <c r="P382" s="8"/>
    </row>
    <row r="383" ht="14.25" customHeight="1">
      <c r="D383" s="8"/>
      <c r="H383" s="8"/>
      <c r="L383" s="8"/>
      <c r="P383" s="8"/>
    </row>
    <row r="384" ht="14.25" customHeight="1">
      <c r="D384" s="8"/>
      <c r="H384" s="8"/>
      <c r="L384" s="8"/>
      <c r="P384" s="8"/>
    </row>
    <row r="385" ht="14.25" customHeight="1">
      <c r="D385" s="8"/>
      <c r="H385" s="8"/>
      <c r="L385" s="8"/>
      <c r="P385" s="8"/>
    </row>
    <row r="386" ht="14.25" customHeight="1">
      <c r="D386" s="8"/>
      <c r="H386" s="8"/>
      <c r="L386" s="8"/>
      <c r="P386" s="8"/>
    </row>
    <row r="387" ht="14.25" customHeight="1">
      <c r="D387" s="8"/>
      <c r="H387" s="8"/>
      <c r="L387" s="8"/>
      <c r="P387" s="8"/>
    </row>
    <row r="388" ht="14.25" customHeight="1">
      <c r="D388" s="8"/>
      <c r="H388" s="8"/>
      <c r="L388" s="8"/>
      <c r="P388" s="8"/>
    </row>
    <row r="389" ht="14.25" customHeight="1">
      <c r="D389" s="8"/>
      <c r="H389" s="8"/>
      <c r="L389" s="8"/>
      <c r="P389" s="8"/>
    </row>
    <row r="390" ht="14.25" customHeight="1">
      <c r="D390" s="8"/>
      <c r="H390" s="8"/>
      <c r="L390" s="8"/>
      <c r="P390" s="8"/>
    </row>
    <row r="391" ht="14.25" customHeight="1">
      <c r="D391" s="8"/>
      <c r="H391" s="8"/>
      <c r="L391" s="8"/>
      <c r="P391" s="8"/>
    </row>
    <row r="392" ht="14.25" customHeight="1">
      <c r="D392" s="8"/>
      <c r="H392" s="8"/>
      <c r="L392" s="8"/>
      <c r="P392" s="8"/>
    </row>
    <row r="393" ht="14.25" customHeight="1">
      <c r="D393" s="8"/>
      <c r="H393" s="8"/>
      <c r="L393" s="8"/>
      <c r="P393" s="8"/>
    </row>
    <row r="394" ht="14.25" customHeight="1">
      <c r="D394" s="8"/>
      <c r="H394" s="8"/>
      <c r="L394" s="8"/>
      <c r="P394" s="8"/>
    </row>
    <row r="395" ht="14.25" customHeight="1">
      <c r="D395" s="8"/>
      <c r="H395" s="8"/>
      <c r="L395" s="8"/>
      <c r="P395" s="8"/>
    </row>
    <row r="396" ht="14.25" customHeight="1">
      <c r="D396" s="8"/>
      <c r="H396" s="8"/>
      <c r="L396" s="8"/>
      <c r="P396" s="8"/>
    </row>
    <row r="397" ht="14.25" customHeight="1">
      <c r="D397" s="8"/>
      <c r="H397" s="8"/>
      <c r="L397" s="8"/>
      <c r="P397" s="8"/>
    </row>
    <row r="398" ht="14.25" customHeight="1">
      <c r="D398" s="8"/>
      <c r="H398" s="8"/>
      <c r="L398" s="8"/>
      <c r="P398" s="8"/>
    </row>
    <row r="399" ht="14.25" customHeight="1">
      <c r="D399" s="8"/>
      <c r="H399" s="8"/>
      <c r="L399" s="8"/>
      <c r="P399" s="8"/>
    </row>
    <row r="400" ht="14.25" customHeight="1">
      <c r="D400" s="8"/>
      <c r="H400" s="8"/>
      <c r="L400" s="8"/>
      <c r="P400" s="8"/>
    </row>
    <row r="401" ht="14.25" customHeight="1">
      <c r="D401" s="8"/>
      <c r="H401" s="8"/>
      <c r="L401" s="8"/>
      <c r="P401" s="8"/>
    </row>
    <row r="402" ht="14.25" customHeight="1">
      <c r="D402" s="8"/>
      <c r="H402" s="8"/>
      <c r="L402" s="8"/>
      <c r="P402" s="8"/>
    </row>
    <row r="403" ht="14.25" customHeight="1">
      <c r="D403" s="8"/>
      <c r="H403" s="8"/>
      <c r="L403" s="8"/>
      <c r="P403" s="8"/>
    </row>
    <row r="404" ht="14.25" customHeight="1">
      <c r="D404" s="8"/>
      <c r="H404" s="8"/>
      <c r="L404" s="8"/>
      <c r="P404" s="8"/>
    </row>
    <row r="405" ht="14.25" customHeight="1">
      <c r="D405" s="8"/>
      <c r="H405" s="8"/>
      <c r="L405" s="8"/>
      <c r="P405" s="8"/>
    </row>
    <row r="406" ht="14.25" customHeight="1">
      <c r="D406" s="8"/>
      <c r="H406" s="8"/>
      <c r="L406" s="8"/>
      <c r="P406" s="8"/>
    </row>
    <row r="407" ht="14.25" customHeight="1">
      <c r="D407" s="8"/>
      <c r="H407" s="8"/>
      <c r="L407" s="8"/>
      <c r="P407" s="8"/>
    </row>
    <row r="408" ht="14.25" customHeight="1">
      <c r="D408" s="8"/>
      <c r="H408" s="8"/>
      <c r="L408" s="8"/>
      <c r="P408" s="8"/>
    </row>
    <row r="409" ht="14.25" customHeight="1">
      <c r="D409" s="8"/>
      <c r="H409" s="8"/>
      <c r="L409" s="8"/>
      <c r="P409" s="8"/>
    </row>
    <row r="410" ht="14.25" customHeight="1">
      <c r="D410" s="8"/>
      <c r="H410" s="8"/>
      <c r="L410" s="8"/>
      <c r="P410" s="8"/>
    </row>
    <row r="411" ht="14.25" customHeight="1">
      <c r="D411" s="8"/>
      <c r="H411" s="8"/>
      <c r="L411" s="8"/>
      <c r="P411" s="8"/>
    </row>
    <row r="412" ht="14.25" customHeight="1">
      <c r="D412" s="8"/>
      <c r="H412" s="8"/>
      <c r="L412" s="8"/>
      <c r="P412" s="8"/>
    </row>
    <row r="413" ht="14.25" customHeight="1">
      <c r="D413" s="8"/>
      <c r="H413" s="8"/>
      <c r="L413" s="8"/>
      <c r="P413" s="8"/>
    </row>
    <row r="414" ht="14.25" customHeight="1">
      <c r="D414" s="8"/>
      <c r="H414" s="8"/>
      <c r="L414" s="8"/>
      <c r="P414" s="8"/>
    </row>
    <row r="415" ht="14.25" customHeight="1">
      <c r="D415" s="8"/>
      <c r="H415" s="8"/>
      <c r="L415" s="8"/>
      <c r="P415" s="8"/>
    </row>
    <row r="416" ht="14.25" customHeight="1">
      <c r="D416" s="8"/>
      <c r="H416" s="8"/>
      <c r="L416" s="8"/>
      <c r="P416" s="8"/>
    </row>
    <row r="417" ht="14.25" customHeight="1">
      <c r="D417" s="8"/>
      <c r="H417" s="8"/>
      <c r="L417" s="8"/>
      <c r="P417" s="8"/>
    </row>
    <row r="418" ht="14.25" customHeight="1">
      <c r="D418" s="8"/>
      <c r="H418" s="8"/>
      <c r="L418" s="8"/>
      <c r="P418" s="8"/>
    </row>
    <row r="419" ht="14.25" customHeight="1">
      <c r="D419" s="8"/>
      <c r="H419" s="8"/>
      <c r="L419" s="8"/>
      <c r="P419" s="8"/>
    </row>
    <row r="420" ht="14.25" customHeight="1">
      <c r="D420" s="8"/>
      <c r="H420" s="8"/>
      <c r="L420" s="8"/>
      <c r="P420" s="8"/>
    </row>
    <row r="421" ht="14.25" customHeight="1">
      <c r="D421" s="8"/>
      <c r="H421" s="8"/>
      <c r="L421" s="8"/>
      <c r="P421" s="8"/>
    </row>
    <row r="422" ht="14.25" customHeight="1">
      <c r="D422" s="8"/>
      <c r="H422" s="8"/>
      <c r="L422" s="8"/>
      <c r="P422" s="8"/>
    </row>
    <row r="423" ht="14.25" customHeight="1">
      <c r="D423" s="8"/>
      <c r="H423" s="8"/>
      <c r="L423" s="8"/>
      <c r="P423" s="8"/>
    </row>
    <row r="424" ht="14.25" customHeight="1">
      <c r="D424" s="8"/>
      <c r="H424" s="8"/>
      <c r="L424" s="8"/>
      <c r="P424" s="8"/>
    </row>
    <row r="425" ht="14.25" customHeight="1">
      <c r="D425" s="8"/>
      <c r="H425" s="8"/>
      <c r="L425" s="8"/>
      <c r="P425" s="8"/>
    </row>
    <row r="426" ht="14.25" customHeight="1">
      <c r="D426" s="8"/>
      <c r="H426" s="8"/>
      <c r="L426" s="8"/>
      <c r="P426" s="8"/>
    </row>
    <row r="427" ht="14.25" customHeight="1">
      <c r="D427" s="8"/>
      <c r="H427" s="8"/>
      <c r="L427" s="8"/>
      <c r="P427" s="8"/>
    </row>
    <row r="428" ht="14.25" customHeight="1">
      <c r="D428" s="8"/>
      <c r="H428" s="8"/>
      <c r="L428" s="8"/>
      <c r="P428" s="8"/>
    </row>
    <row r="429" ht="14.25" customHeight="1">
      <c r="D429" s="8"/>
      <c r="H429" s="8"/>
      <c r="L429" s="8"/>
      <c r="P429" s="8"/>
    </row>
    <row r="430" ht="14.25" customHeight="1">
      <c r="D430" s="8"/>
      <c r="H430" s="8"/>
      <c r="L430" s="8"/>
      <c r="P430" s="8"/>
    </row>
    <row r="431" ht="14.25" customHeight="1">
      <c r="D431" s="8"/>
      <c r="H431" s="8"/>
      <c r="L431" s="8"/>
      <c r="P431" s="8"/>
    </row>
    <row r="432" ht="14.25" customHeight="1">
      <c r="D432" s="8"/>
      <c r="H432" s="8"/>
      <c r="L432" s="8"/>
      <c r="P432" s="8"/>
    </row>
    <row r="433" ht="14.25" customHeight="1">
      <c r="D433" s="8"/>
      <c r="H433" s="8"/>
      <c r="L433" s="8"/>
      <c r="P433" s="8"/>
    </row>
    <row r="434" ht="14.25" customHeight="1">
      <c r="D434" s="8"/>
      <c r="H434" s="8"/>
      <c r="L434" s="8"/>
      <c r="P434" s="8"/>
    </row>
    <row r="435" ht="14.25" customHeight="1">
      <c r="D435" s="8"/>
      <c r="H435" s="8"/>
      <c r="L435" s="8"/>
      <c r="P435" s="8"/>
    </row>
    <row r="436" ht="14.25" customHeight="1">
      <c r="D436" s="8"/>
      <c r="H436" s="8"/>
      <c r="L436" s="8"/>
      <c r="P436" s="8"/>
    </row>
    <row r="437" ht="14.25" customHeight="1">
      <c r="D437" s="8"/>
      <c r="H437" s="8"/>
      <c r="L437" s="8"/>
      <c r="P437" s="8"/>
    </row>
    <row r="438" ht="14.25" customHeight="1">
      <c r="D438" s="8"/>
      <c r="H438" s="8"/>
      <c r="L438" s="8"/>
      <c r="P438" s="8"/>
    </row>
    <row r="439" ht="14.25" customHeight="1">
      <c r="D439" s="8"/>
      <c r="H439" s="8"/>
      <c r="L439" s="8"/>
      <c r="P439" s="8"/>
    </row>
    <row r="440" ht="14.25" customHeight="1">
      <c r="D440" s="8"/>
      <c r="H440" s="8"/>
      <c r="L440" s="8"/>
      <c r="P440" s="8"/>
    </row>
    <row r="441" ht="14.25" customHeight="1">
      <c r="D441" s="8"/>
      <c r="H441" s="8"/>
      <c r="L441" s="8"/>
      <c r="P441" s="8"/>
    </row>
    <row r="442" ht="14.25" customHeight="1">
      <c r="D442" s="8"/>
      <c r="H442" s="8"/>
      <c r="L442" s="8"/>
      <c r="P442" s="8"/>
    </row>
    <row r="443" ht="14.25" customHeight="1">
      <c r="D443" s="8"/>
      <c r="H443" s="8"/>
      <c r="L443" s="8"/>
      <c r="P443" s="8"/>
    </row>
    <row r="444" ht="14.25" customHeight="1">
      <c r="D444" s="8"/>
      <c r="H444" s="8"/>
      <c r="L444" s="8"/>
      <c r="P444" s="8"/>
    </row>
    <row r="445" ht="14.25" customHeight="1">
      <c r="D445" s="8"/>
      <c r="H445" s="8"/>
      <c r="L445" s="8"/>
      <c r="P445" s="8"/>
    </row>
    <row r="446" ht="14.25" customHeight="1">
      <c r="D446" s="8"/>
      <c r="H446" s="8"/>
      <c r="L446" s="8"/>
      <c r="P446" s="8"/>
    </row>
    <row r="447" ht="14.25" customHeight="1">
      <c r="D447" s="8"/>
      <c r="H447" s="8"/>
      <c r="L447" s="8"/>
      <c r="P447" s="8"/>
    </row>
    <row r="448" ht="14.25" customHeight="1">
      <c r="D448" s="8"/>
      <c r="H448" s="8"/>
      <c r="L448" s="8"/>
      <c r="P448" s="8"/>
    </row>
    <row r="449" ht="14.25" customHeight="1">
      <c r="D449" s="8"/>
      <c r="H449" s="8"/>
      <c r="L449" s="8"/>
      <c r="P449" s="8"/>
    </row>
    <row r="450" ht="14.25" customHeight="1">
      <c r="D450" s="8"/>
      <c r="H450" s="8"/>
      <c r="L450" s="8"/>
      <c r="P450" s="8"/>
    </row>
    <row r="451" ht="14.25" customHeight="1">
      <c r="D451" s="8"/>
      <c r="H451" s="8"/>
      <c r="L451" s="8"/>
      <c r="P451" s="8"/>
    </row>
    <row r="452" ht="14.25" customHeight="1">
      <c r="D452" s="8"/>
      <c r="H452" s="8"/>
      <c r="L452" s="8"/>
      <c r="P452" s="8"/>
    </row>
    <row r="453" ht="14.25" customHeight="1">
      <c r="D453" s="8"/>
      <c r="H453" s="8"/>
      <c r="L453" s="8"/>
      <c r="P453" s="8"/>
    </row>
    <row r="454" ht="14.25" customHeight="1">
      <c r="D454" s="8"/>
      <c r="H454" s="8"/>
      <c r="L454" s="8"/>
      <c r="P454" s="8"/>
    </row>
    <row r="455" ht="14.25" customHeight="1">
      <c r="D455" s="8"/>
      <c r="H455" s="8"/>
      <c r="L455" s="8"/>
      <c r="P455" s="8"/>
    </row>
    <row r="456" ht="14.25" customHeight="1">
      <c r="D456" s="8"/>
      <c r="H456" s="8"/>
      <c r="L456" s="8"/>
      <c r="P456" s="8"/>
    </row>
    <row r="457" ht="14.25" customHeight="1">
      <c r="D457" s="8"/>
      <c r="H457" s="8"/>
      <c r="L457" s="8"/>
      <c r="P457" s="8"/>
    </row>
    <row r="458" ht="14.25" customHeight="1">
      <c r="D458" s="8"/>
      <c r="H458" s="8"/>
      <c r="L458" s="8"/>
      <c r="P458" s="8"/>
    </row>
    <row r="459" ht="14.25" customHeight="1">
      <c r="D459" s="8"/>
      <c r="H459" s="8"/>
      <c r="L459" s="8"/>
      <c r="P459" s="8"/>
    </row>
    <row r="460" ht="14.25" customHeight="1">
      <c r="D460" s="8"/>
      <c r="H460" s="8"/>
      <c r="L460" s="8"/>
      <c r="P460" s="8"/>
    </row>
    <row r="461" ht="14.25" customHeight="1">
      <c r="D461" s="8"/>
      <c r="H461" s="8"/>
      <c r="L461" s="8"/>
      <c r="P461" s="8"/>
    </row>
    <row r="462" ht="14.25" customHeight="1">
      <c r="D462" s="8"/>
      <c r="H462" s="8"/>
      <c r="L462" s="8"/>
      <c r="P462" s="8"/>
    </row>
    <row r="463" ht="14.25" customHeight="1">
      <c r="D463" s="8"/>
      <c r="H463" s="8"/>
      <c r="L463" s="8"/>
      <c r="P463" s="8"/>
    </row>
    <row r="464" ht="14.25" customHeight="1">
      <c r="D464" s="8"/>
      <c r="H464" s="8"/>
      <c r="L464" s="8"/>
      <c r="P464" s="8"/>
    </row>
    <row r="465" ht="14.25" customHeight="1">
      <c r="D465" s="8"/>
      <c r="H465" s="8"/>
      <c r="L465" s="8"/>
      <c r="P465" s="8"/>
    </row>
    <row r="466" ht="14.25" customHeight="1">
      <c r="D466" s="8"/>
      <c r="H466" s="8"/>
      <c r="L466" s="8"/>
      <c r="P466" s="8"/>
    </row>
    <row r="467" ht="14.25" customHeight="1">
      <c r="D467" s="8"/>
      <c r="H467" s="8"/>
      <c r="L467" s="8"/>
      <c r="P467" s="8"/>
    </row>
    <row r="468" ht="14.25" customHeight="1">
      <c r="D468" s="8"/>
      <c r="H468" s="8"/>
      <c r="L468" s="8"/>
      <c r="P468" s="8"/>
    </row>
    <row r="469" ht="14.25" customHeight="1">
      <c r="D469" s="8"/>
      <c r="H469" s="8"/>
      <c r="L469" s="8"/>
      <c r="P469" s="8"/>
    </row>
    <row r="470" ht="14.25" customHeight="1">
      <c r="D470" s="8"/>
      <c r="H470" s="8"/>
      <c r="L470" s="8"/>
      <c r="P470" s="8"/>
    </row>
    <row r="471" ht="14.25" customHeight="1">
      <c r="D471" s="8"/>
      <c r="H471" s="8"/>
      <c r="L471" s="8"/>
      <c r="P471" s="8"/>
    </row>
    <row r="472" ht="14.25" customHeight="1">
      <c r="D472" s="8"/>
      <c r="H472" s="8"/>
      <c r="L472" s="8"/>
      <c r="P472" s="8"/>
    </row>
    <row r="473" ht="14.25" customHeight="1">
      <c r="D473" s="8"/>
      <c r="H473" s="8"/>
      <c r="L473" s="8"/>
      <c r="P473" s="8"/>
    </row>
    <row r="474" ht="14.25" customHeight="1">
      <c r="D474" s="8"/>
      <c r="H474" s="8"/>
      <c r="L474" s="8"/>
      <c r="P474" s="8"/>
    </row>
    <row r="475" ht="14.25" customHeight="1">
      <c r="D475" s="8"/>
      <c r="H475" s="8"/>
      <c r="L475" s="8"/>
      <c r="P475" s="8"/>
    </row>
    <row r="476" ht="14.25" customHeight="1">
      <c r="D476" s="8"/>
      <c r="H476" s="8"/>
      <c r="L476" s="8"/>
      <c r="P476" s="8"/>
    </row>
    <row r="477" ht="14.25" customHeight="1">
      <c r="D477" s="8"/>
      <c r="H477" s="8"/>
      <c r="L477" s="8"/>
      <c r="P477" s="8"/>
    </row>
    <row r="478" ht="14.25" customHeight="1">
      <c r="D478" s="8"/>
      <c r="H478" s="8"/>
      <c r="L478" s="8"/>
      <c r="P478" s="8"/>
    </row>
    <row r="479" ht="14.25" customHeight="1">
      <c r="D479" s="8"/>
      <c r="H479" s="8"/>
      <c r="L479" s="8"/>
      <c r="P479" s="8"/>
    </row>
    <row r="480" ht="14.25" customHeight="1">
      <c r="D480" s="8"/>
      <c r="H480" s="8"/>
      <c r="L480" s="8"/>
      <c r="P480" s="8"/>
    </row>
    <row r="481" ht="14.25" customHeight="1">
      <c r="D481" s="8"/>
      <c r="H481" s="8"/>
      <c r="L481" s="8"/>
      <c r="P481" s="8"/>
    </row>
    <row r="482" ht="14.25" customHeight="1">
      <c r="D482" s="8"/>
      <c r="H482" s="8"/>
      <c r="L482" s="8"/>
      <c r="P482" s="8"/>
    </row>
    <row r="483" ht="14.25" customHeight="1">
      <c r="D483" s="8"/>
      <c r="H483" s="8"/>
      <c r="L483" s="8"/>
      <c r="P483" s="8"/>
    </row>
    <row r="484" ht="14.25" customHeight="1">
      <c r="D484" s="8"/>
      <c r="H484" s="8"/>
      <c r="L484" s="8"/>
      <c r="P484" s="8"/>
    </row>
    <row r="485" ht="14.25" customHeight="1">
      <c r="D485" s="8"/>
      <c r="H485" s="8"/>
      <c r="L485" s="8"/>
      <c r="P485" s="8"/>
    </row>
    <row r="486" ht="14.25" customHeight="1">
      <c r="D486" s="8"/>
      <c r="H486" s="8"/>
      <c r="L486" s="8"/>
      <c r="P486" s="8"/>
    </row>
    <row r="487" ht="14.25" customHeight="1">
      <c r="D487" s="8"/>
      <c r="H487" s="8"/>
      <c r="L487" s="8"/>
      <c r="P487" s="8"/>
    </row>
    <row r="488" ht="14.25" customHeight="1">
      <c r="D488" s="8"/>
      <c r="H488" s="8"/>
      <c r="L488" s="8"/>
      <c r="P488" s="8"/>
    </row>
    <row r="489" ht="14.25" customHeight="1">
      <c r="D489" s="8"/>
      <c r="H489" s="8"/>
      <c r="L489" s="8"/>
      <c r="P489" s="8"/>
    </row>
    <row r="490" ht="14.25" customHeight="1">
      <c r="D490" s="8"/>
      <c r="H490" s="8"/>
      <c r="L490" s="8"/>
      <c r="P490" s="8"/>
    </row>
    <row r="491" ht="14.25" customHeight="1">
      <c r="D491" s="8"/>
      <c r="H491" s="8"/>
      <c r="L491" s="8"/>
      <c r="P491" s="8"/>
    </row>
    <row r="492" ht="14.25" customHeight="1">
      <c r="D492" s="8"/>
      <c r="H492" s="8"/>
      <c r="L492" s="8"/>
      <c r="P492" s="8"/>
    </row>
    <row r="493" ht="14.25" customHeight="1">
      <c r="D493" s="8"/>
      <c r="H493" s="8"/>
      <c r="L493" s="8"/>
      <c r="P493" s="8"/>
    </row>
    <row r="494" ht="14.25" customHeight="1">
      <c r="D494" s="8"/>
      <c r="H494" s="8"/>
      <c r="L494" s="8"/>
      <c r="P494" s="8"/>
    </row>
    <row r="495" ht="14.25" customHeight="1">
      <c r="D495" s="8"/>
      <c r="H495" s="8"/>
      <c r="L495" s="8"/>
      <c r="P495" s="8"/>
    </row>
    <row r="496" ht="14.25" customHeight="1">
      <c r="D496" s="8"/>
      <c r="H496" s="8"/>
      <c r="L496" s="8"/>
      <c r="P496" s="8"/>
    </row>
    <row r="497" ht="14.25" customHeight="1">
      <c r="D497" s="8"/>
      <c r="H497" s="8"/>
      <c r="L497" s="8"/>
      <c r="P497" s="8"/>
    </row>
    <row r="498" ht="14.25" customHeight="1">
      <c r="D498" s="8"/>
      <c r="H498" s="8"/>
      <c r="L498" s="8"/>
      <c r="P498" s="8"/>
    </row>
    <row r="499" ht="14.25" customHeight="1">
      <c r="D499" s="8"/>
      <c r="H499" s="8"/>
      <c r="L499" s="8"/>
      <c r="P499" s="8"/>
    </row>
    <row r="500" ht="14.25" customHeight="1">
      <c r="D500" s="8"/>
      <c r="H500" s="8"/>
      <c r="L500" s="8"/>
      <c r="P500" s="8"/>
    </row>
    <row r="501" ht="14.25" customHeight="1">
      <c r="D501" s="8"/>
      <c r="H501" s="8"/>
      <c r="L501" s="8"/>
      <c r="P501" s="8"/>
    </row>
    <row r="502" ht="14.25" customHeight="1">
      <c r="D502" s="8"/>
      <c r="H502" s="8"/>
      <c r="L502" s="8"/>
      <c r="P502" s="8"/>
    </row>
    <row r="503" ht="14.25" customHeight="1">
      <c r="D503" s="8"/>
      <c r="H503" s="8"/>
      <c r="L503" s="8"/>
      <c r="P503" s="8"/>
    </row>
    <row r="504" ht="14.25" customHeight="1">
      <c r="D504" s="8"/>
      <c r="H504" s="8"/>
      <c r="L504" s="8"/>
      <c r="P504" s="8"/>
    </row>
    <row r="505" ht="14.25" customHeight="1">
      <c r="D505" s="8"/>
      <c r="H505" s="8"/>
      <c r="L505" s="8"/>
      <c r="P505" s="8"/>
    </row>
    <row r="506" ht="14.25" customHeight="1">
      <c r="D506" s="8"/>
      <c r="H506" s="8"/>
      <c r="L506" s="8"/>
      <c r="P506" s="8"/>
    </row>
    <row r="507" ht="14.25" customHeight="1">
      <c r="D507" s="8"/>
      <c r="H507" s="8"/>
      <c r="L507" s="8"/>
      <c r="P507" s="8"/>
    </row>
    <row r="508" ht="14.25" customHeight="1">
      <c r="D508" s="8"/>
      <c r="H508" s="8"/>
      <c r="L508" s="8"/>
      <c r="P508" s="8"/>
    </row>
    <row r="509" ht="14.25" customHeight="1">
      <c r="D509" s="8"/>
      <c r="H509" s="8"/>
      <c r="L509" s="8"/>
      <c r="P509" s="8"/>
    </row>
    <row r="510" ht="14.25" customHeight="1">
      <c r="D510" s="8"/>
      <c r="H510" s="8"/>
      <c r="L510" s="8"/>
      <c r="P510" s="8"/>
    </row>
    <row r="511" ht="14.25" customHeight="1">
      <c r="D511" s="8"/>
      <c r="H511" s="8"/>
      <c r="L511" s="8"/>
      <c r="P511" s="8"/>
    </row>
    <row r="512" ht="14.25" customHeight="1">
      <c r="D512" s="8"/>
      <c r="H512" s="8"/>
      <c r="L512" s="8"/>
      <c r="P512" s="8"/>
    </row>
    <row r="513" ht="14.25" customHeight="1">
      <c r="D513" s="8"/>
      <c r="H513" s="8"/>
      <c r="L513" s="8"/>
      <c r="P513" s="8"/>
    </row>
    <row r="514" ht="14.25" customHeight="1">
      <c r="D514" s="8"/>
      <c r="H514" s="8"/>
      <c r="L514" s="8"/>
      <c r="P514" s="8"/>
    </row>
    <row r="515" ht="14.25" customHeight="1">
      <c r="D515" s="8"/>
      <c r="H515" s="8"/>
      <c r="L515" s="8"/>
      <c r="P515" s="8"/>
    </row>
    <row r="516" ht="14.25" customHeight="1">
      <c r="D516" s="8"/>
      <c r="H516" s="8"/>
      <c r="L516" s="8"/>
      <c r="P516" s="8"/>
    </row>
    <row r="517" ht="14.25" customHeight="1">
      <c r="D517" s="8"/>
      <c r="H517" s="8"/>
      <c r="L517" s="8"/>
      <c r="P517" s="8"/>
    </row>
    <row r="518" ht="14.25" customHeight="1">
      <c r="D518" s="8"/>
      <c r="H518" s="8"/>
      <c r="L518" s="8"/>
      <c r="P518" s="8"/>
    </row>
    <row r="519" ht="14.25" customHeight="1">
      <c r="D519" s="8"/>
      <c r="H519" s="8"/>
      <c r="L519" s="8"/>
      <c r="P519" s="8"/>
    </row>
    <row r="520" ht="14.25" customHeight="1">
      <c r="D520" s="8"/>
      <c r="H520" s="8"/>
      <c r="L520" s="8"/>
      <c r="P520" s="8"/>
    </row>
    <row r="521" ht="14.25" customHeight="1">
      <c r="D521" s="8"/>
      <c r="H521" s="8"/>
      <c r="L521" s="8"/>
      <c r="P521" s="8"/>
    </row>
    <row r="522" ht="14.25" customHeight="1">
      <c r="D522" s="8"/>
      <c r="H522" s="8"/>
      <c r="L522" s="8"/>
      <c r="P522" s="8"/>
    </row>
    <row r="523" ht="14.25" customHeight="1">
      <c r="D523" s="8"/>
      <c r="H523" s="8"/>
      <c r="L523" s="8"/>
      <c r="P523" s="8"/>
    </row>
    <row r="524" ht="14.25" customHeight="1">
      <c r="D524" s="8"/>
      <c r="H524" s="8"/>
      <c r="L524" s="8"/>
      <c r="P524" s="8"/>
    </row>
    <row r="525" ht="14.25" customHeight="1">
      <c r="D525" s="8"/>
      <c r="H525" s="8"/>
      <c r="L525" s="8"/>
      <c r="P525" s="8"/>
    </row>
    <row r="526" ht="14.25" customHeight="1">
      <c r="D526" s="8"/>
      <c r="H526" s="8"/>
      <c r="L526" s="8"/>
      <c r="P526" s="8"/>
    </row>
    <row r="527" ht="14.25" customHeight="1">
      <c r="D527" s="8"/>
      <c r="H527" s="8"/>
      <c r="L527" s="8"/>
      <c r="P527" s="8"/>
    </row>
    <row r="528" ht="14.25" customHeight="1">
      <c r="D528" s="8"/>
      <c r="H528" s="8"/>
      <c r="L528" s="8"/>
      <c r="P528" s="8"/>
    </row>
    <row r="529" ht="14.25" customHeight="1">
      <c r="D529" s="8"/>
      <c r="H529" s="8"/>
      <c r="L529" s="8"/>
      <c r="P529" s="8"/>
    </row>
    <row r="530" ht="14.25" customHeight="1">
      <c r="D530" s="8"/>
      <c r="H530" s="8"/>
      <c r="L530" s="8"/>
      <c r="P530" s="8"/>
    </row>
    <row r="531" ht="14.25" customHeight="1">
      <c r="D531" s="8"/>
      <c r="H531" s="8"/>
      <c r="L531" s="8"/>
      <c r="P531" s="8"/>
    </row>
    <row r="532" ht="14.25" customHeight="1">
      <c r="D532" s="8"/>
      <c r="H532" s="8"/>
      <c r="L532" s="8"/>
      <c r="P532" s="8"/>
    </row>
    <row r="533" ht="14.25" customHeight="1">
      <c r="D533" s="8"/>
      <c r="H533" s="8"/>
      <c r="L533" s="8"/>
      <c r="P533" s="8"/>
    </row>
    <row r="534" ht="14.25" customHeight="1">
      <c r="D534" s="8"/>
      <c r="H534" s="8"/>
      <c r="L534" s="8"/>
      <c r="P534" s="8"/>
    </row>
    <row r="535" ht="14.25" customHeight="1">
      <c r="D535" s="8"/>
      <c r="H535" s="8"/>
      <c r="L535" s="8"/>
      <c r="P535" s="8"/>
    </row>
    <row r="536" ht="14.25" customHeight="1">
      <c r="D536" s="8"/>
      <c r="H536" s="8"/>
      <c r="L536" s="8"/>
      <c r="P536" s="8"/>
    </row>
    <row r="537" ht="14.25" customHeight="1">
      <c r="D537" s="8"/>
      <c r="H537" s="8"/>
      <c r="L537" s="8"/>
      <c r="P537" s="8"/>
    </row>
    <row r="538" ht="14.25" customHeight="1">
      <c r="D538" s="8"/>
      <c r="H538" s="8"/>
      <c r="L538" s="8"/>
      <c r="P538" s="8"/>
    </row>
    <row r="539" ht="14.25" customHeight="1">
      <c r="D539" s="8"/>
      <c r="H539" s="8"/>
      <c r="L539" s="8"/>
      <c r="P539" s="8"/>
    </row>
    <row r="540" ht="14.25" customHeight="1">
      <c r="D540" s="8"/>
      <c r="H540" s="8"/>
      <c r="L540" s="8"/>
      <c r="P540" s="8"/>
    </row>
    <row r="541" ht="14.25" customHeight="1">
      <c r="D541" s="8"/>
      <c r="H541" s="8"/>
      <c r="L541" s="8"/>
      <c r="P541" s="8"/>
    </row>
    <row r="542" ht="14.25" customHeight="1">
      <c r="D542" s="8"/>
      <c r="H542" s="8"/>
      <c r="L542" s="8"/>
      <c r="P542" s="8"/>
    </row>
    <row r="543" ht="14.25" customHeight="1">
      <c r="D543" s="8"/>
      <c r="H543" s="8"/>
      <c r="L543" s="8"/>
      <c r="P543" s="8"/>
    </row>
    <row r="544" ht="14.25" customHeight="1">
      <c r="D544" s="8"/>
      <c r="H544" s="8"/>
      <c r="L544" s="8"/>
      <c r="P544" s="8"/>
    </row>
    <row r="545" ht="14.25" customHeight="1">
      <c r="D545" s="8"/>
      <c r="H545" s="8"/>
      <c r="L545" s="8"/>
      <c r="P545" s="8"/>
    </row>
    <row r="546" ht="14.25" customHeight="1">
      <c r="D546" s="8"/>
      <c r="H546" s="8"/>
      <c r="L546" s="8"/>
      <c r="P546" s="8"/>
    </row>
    <row r="547" ht="14.25" customHeight="1">
      <c r="D547" s="8"/>
      <c r="H547" s="8"/>
      <c r="L547" s="8"/>
      <c r="P547" s="8"/>
    </row>
    <row r="548" ht="14.25" customHeight="1">
      <c r="D548" s="8"/>
      <c r="H548" s="8"/>
      <c r="L548" s="8"/>
      <c r="P548" s="8"/>
    </row>
    <row r="549" ht="14.25" customHeight="1">
      <c r="D549" s="8"/>
      <c r="H549" s="8"/>
      <c r="L549" s="8"/>
      <c r="P549" s="8"/>
    </row>
    <row r="550" ht="14.25" customHeight="1">
      <c r="D550" s="8"/>
      <c r="H550" s="8"/>
      <c r="L550" s="8"/>
      <c r="P550" s="8"/>
    </row>
    <row r="551" ht="14.25" customHeight="1">
      <c r="D551" s="8"/>
      <c r="H551" s="8"/>
      <c r="L551" s="8"/>
      <c r="P551" s="8"/>
    </row>
    <row r="552" ht="14.25" customHeight="1">
      <c r="D552" s="8"/>
      <c r="H552" s="8"/>
      <c r="L552" s="8"/>
      <c r="P552" s="8"/>
    </row>
    <row r="553" ht="14.25" customHeight="1">
      <c r="D553" s="8"/>
      <c r="H553" s="8"/>
      <c r="L553" s="8"/>
      <c r="P553" s="8"/>
    </row>
    <row r="554" ht="14.25" customHeight="1">
      <c r="D554" s="8"/>
      <c r="H554" s="8"/>
      <c r="L554" s="8"/>
      <c r="P554" s="8"/>
    </row>
    <row r="555" ht="14.25" customHeight="1">
      <c r="D555" s="8"/>
      <c r="H555" s="8"/>
      <c r="L555" s="8"/>
      <c r="P555" s="8"/>
    </row>
    <row r="556" ht="14.25" customHeight="1">
      <c r="D556" s="8"/>
      <c r="H556" s="8"/>
      <c r="L556" s="8"/>
      <c r="P556" s="8"/>
    </row>
    <row r="557" ht="14.25" customHeight="1">
      <c r="D557" s="8"/>
      <c r="H557" s="8"/>
      <c r="L557" s="8"/>
      <c r="P557" s="8"/>
    </row>
    <row r="558" ht="14.25" customHeight="1">
      <c r="D558" s="8"/>
      <c r="H558" s="8"/>
      <c r="L558" s="8"/>
      <c r="P558" s="8"/>
    </row>
    <row r="559" ht="14.25" customHeight="1">
      <c r="D559" s="8"/>
      <c r="H559" s="8"/>
      <c r="L559" s="8"/>
      <c r="P559" s="8"/>
    </row>
    <row r="560" ht="14.25" customHeight="1">
      <c r="D560" s="8"/>
      <c r="H560" s="8"/>
      <c r="L560" s="8"/>
      <c r="P560" s="8"/>
    </row>
    <row r="561" ht="14.25" customHeight="1">
      <c r="D561" s="8"/>
      <c r="H561" s="8"/>
      <c r="L561" s="8"/>
      <c r="P561" s="8"/>
    </row>
    <row r="562" ht="14.25" customHeight="1">
      <c r="D562" s="8"/>
      <c r="H562" s="8"/>
      <c r="L562" s="8"/>
      <c r="P562" s="8"/>
    </row>
    <row r="563" ht="14.25" customHeight="1">
      <c r="D563" s="8"/>
      <c r="H563" s="8"/>
      <c r="L563" s="8"/>
      <c r="P563" s="8"/>
    </row>
    <row r="564" ht="14.25" customHeight="1">
      <c r="D564" s="8"/>
      <c r="H564" s="8"/>
      <c r="L564" s="8"/>
      <c r="P564" s="8"/>
    </row>
    <row r="565" ht="14.25" customHeight="1">
      <c r="D565" s="8"/>
      <c r="H565" s="8"/>
      <c r="L565" s="8"/>
      <c r="P565" s="8"/>
    </row>
    <row r="566" ht="14.25" customHeight="1">
      <c r="D566" s="8"/>
      <c r="H566" s="8"/>
      <c r="L566" s="8"/>
      <c r="P566" s="8"/>
    </row>
    <row r="567" ht="14.25" customHeight="1">
      <c r="D567" s="8"/>
      <c r="H567" s="8"/>
      <c r="L567" s="8"/>
      <c r="P567" s="8"/>
    </row>
    <row r="568" ht="14.25" customHeight="1">
      <c r="D568" s="8"/>
      <c r="H568" s="8"/>
      <c r="L568" s="8"/>
      <c r="P568" s="8"/>
    </row>
    <row r="569" ht="14.25" customHeight="1">
      <c r="D569" s="8"/>
      <c r="H569" s="8"/>
      <c r="L569" s="8"/>
      <c r="P569" s="8"/>
    </row>
    <row r="570" ht="14.25" customHeight="1">
      <c r="D570" s="8"/>
      <c r="H570" s="8"/>
      <c r="L570" s="8"/>
      <c r="P570" s="8"/>
    </row>
    <row r="571" ht="14.25" customHeight="1">
      <c r="D571" s="8"/>
      <c r="H571" s="8"/>
      <c r="L571" s="8"/>
      <c r="P571" s="8"/>
    </row>
    <row r="572" ht="14.25" customHeight="1">
      <c r="D572" s="8"/>
      <c r="H572" s="8"/>
      <c r="L572" s="8"/>
      <c r="P572" s="8"/>
    </row>
    <row r="573" ht="14.25" customHeight="1">
      <c r="D573" s="8"/>
      <c r="H573" s="8"/>
      <c r="L573" s="8"/>
      <c r="P573" s="8"/>
    </row>
    <row r="574" ht="14.25" customHeight="1">
      <c r="D574" s="8"/>
      <c r="H574" s="8"/>
      <c r="L574" s="8"/>
      <c r="P574" s="8"/>
    </row>
    <row r="575" ht="14.25" customHeight="1">
      <c r="D575" s="8"/>
      <c r="H575" s="8"/>
      <c r="L575" s="8"/>
      <c r="P575" s="8"/>
    </row>
    <row r="576" ht="14.25" customHeight="1">
      <c r="D576" s="8"/>
      <c r="H576" s="8"/>
      <c r="L576" s="8"/>
      <c r="P576" s="8"/>
    </row>
    <row r="577" ht="14.25" customHeight="1">
      <c r="D577" s="8"/>
      <c r="H577" s="8"/>
      <c r="L577" s="8"/>
      <c r="P577" s="8"/>
    </row>
    <row r="578" ht="14.25" customHeight="1">
      <c r="D578" s="8"/>
      <c r="H578" s="8"/>
      <c r="L578" s="8"/>
      <c r="P578" s="8"/>
    </row>
    <row r="579" ht="14.25" customHeight="1">
      <c r="D579" s="8"/>
      <c r="H579" s="8"/>
      <c r="L579" s="8"/>
      <c r="P579" s="8"/>
    </row>
    <row r="580" ht="14.25" customHeight="1">
      <c r="D580" s="8"/>
      <c r="H580" s="8"/>
      <c r="L580" s="8"/>
      <c r="P580" s="8"/>
    </row>
    <row r="581" ht="14.25" customHeight="1">
      <c r="D581" s="8"/>
      <c r="H581" s="8"/>
      <c r="L581" s="8"/>
      <c r="P581" s="8"/>
    </row>
    <row r="582" ht="14.25" customHeight="1">
      <c r="D582" s="8"/>
      <c r="H582" s="8"/>
      <c r="L582" s="8"/>
      <c r="P582" s="8"/>
    </row>
    <row r="583" ht="14.25" customHeight="1">
      <c r="D583" s="8"/>
      <c r="H583" s="8"/>
      <c r="L583" s="8"/>
      <c r="P583" s="8"/>
    </row>
    <row r="584" ht="14.25" customHeight="1">
      <c r="D584" s="8"/>
      <c r="H584" s="8"/>
      <c r="L584" s="8"/>
      <c r="P584" s="8"/>
    </row>
    <row r="585" ht="14.25" customHeight="1">
      <c r="D585" s="8"/>
      <c r="H585" s="8"/>
      <c r="L585" s="8"/>
      <c r="P585" s="8"/>
    </row>
    <row r="586" ht="14.25" customHeight="1">
      <c r="D586" s="8"/>
      <c r="H586" s="8"/>
      <c r="L586" s="8"/>
      <c r="P586" s="8"/>
    </row>
    <row r="587" ht="14.25" customHeight="1">
      <c r="D587" s="8"/>
      <c r="H587" s="8"/>
      <c r="L587" s="8"/>
      <c r="P587" s="8"/>
    </row>
    <row r="588" ht="14.25" customHeight="1">
      <c r="D588" s="8"/>
      <c r="H588" s="8"/>
      <c r="L588" s="8"/>
      <c r="P588" s="8"/>
    </row>
    <row r="589" ht="14.25" customHeight="1">
      <c r="D589" s="8"/>
      <c r="H589" s="8"/>
      <c r="L589" s="8"/>
      <c r="P589" s="8"/>
    </row>
    <row r="590" ht="14.25" customHeight="1">
      <c r="D590" s="8"/>
      <c r="H590" s="8"/>
      <c r="L590" s="8"/>
      <c r="P590" s="8"/>
    </row>
    <row r="591" ht="14.25" customHeight="1">
      <c r="D591" s="8"/>
      <c r="H591" s="8"/>
      <c r="L591" s="8"/>
      <c r="P591" s="8"/>
    </row>
    <row r="592" ht="14.25" customHeight="1">
      <c r="D592" s="8"/>
      <c r="H592" s="8"/>
      <c r="L592" s="8"/>
      <c r="P592" s="8"/>
    </row>
    <row r="593" ht="14.25" customHeight="1">
      <c r="D593" s="8"/>
      <c r="H593" s="8"/>
      <c r="L593" s="8"/>
      <c r="P593" s="8"/>
    </row>
    <row r="594" ht="14.25" customHeight="1">
      <c r="D594" s="8"/>
      <c r="H594" s="8"/>
      <c r="L594" s="8"/>
      <c r="P594" s="8"/>
    </row>
    <row r="595" ht="14.25" customHeight="1">
      <c r="D595" s="8"/>
      <c r="H595" s="8"/>
      <c r="L595" s="8"/>
      <c r="P595" s="8"/>
    </row>
    <row r="596" ht="14.25" customHeight="1">
      <c r="D596" s="8"/>
      <c r="H596" s="8"/>
      <c r="L596" s="8"/>
      <c r="P596" s="8"/>
    </row>
    <row r="597" ht="14.25" customHeight="1">
      <c r="D597" s="8"/>
      <c r="H597" s="8"/>
      <c r="L597" s="8"/>
      <c r="P597" s="8"/>
    </row>
    <row r="598" ht="14.25" customHeight="1">
      <c r="D598" s="8"/>
      <c r="H598" s="8"/>
      <c r="L598" s="8"/>
      <c r="P598" s="8"/>
    </row>
    <row r="599" ht="14.25" customHeight="1">
      <c r="D599" s="8"/>
      <c r="H599" s="8"/>
      <c r="L599" s="8"/>
      <c r="P599" s="8"/>
    </row>
    <row r="600" ht="14.25" customHeight="1">
      <c r="D600" s="8"/>
      <c r="H600" s="8"/>
      <c r="L600" s="8"/>
      <c r="P600" s="8"/>
    </row>
    <row r="601" ht="14.25" customHeight="1">
      <c r="D601" s="8"/>
      <c r="H601" s="8"/>
      <c r="L601" s="8"/>
      <c r="P601" s="8"/>
    </row>
    <row r="602" ht="14.25" customHeight="1">
      <c r="D602" s="8"/>
      <c r="H602" s="8"/>
      <c r="L602" s="8"/>
      <c r="P602" s="8"/>
    </row>
    <row r="603" ht="14.25" customHeight="1">
      <c r="D603" s="8"/>
      <c r="H603" s="8"/>
      <c r="L603" s="8"/>
      <c r="P603" s="8"/>
    </row>
    <row r="604" ht="14.25" customHeight="1">
      <c r="D604" s="8"/>
      <c r="H604" s="8"/>
      <c r="L604" s="8"/>
      <c r="P604" s="8"/>
    </row>
    <row r="605" ht="14.25" customHeight="1">
      <c r="D605" s="8"/>
      <c r="H605" s="8"/>
      <c r="L605" s="8"/>
      <c r="P605" s="8"/>
    </row>
    <row r="606" ht="14.25" customHeight="1">
      <c r="D606" s="8"/>
      <c r="H606" s="8"/>
      <c r="L606" s="8"/>
      <c r="P606" s="8"/>
    </row>
    <row r="607" ht="14.25" customHeight="1">
      <c r="D607" s="8"/>
      <c r="H607" s="8"/>
      <c r="L607" s="8"/>
      <c r="P607" s="8"/>
    </row>
    <row r="608" ht="14.25" customHeight="1">
      <c r="D608" s="8"/>
      <c r="H608" s="8"/>
      <c r="L608" s="8"/>
      <c r="P608" s="8"/>
    </row>
    <row r="609" ht="14.25" customHeight="1">
      <c r="D609" s="8"/>
      <c r="H609" s="8"/>
      <c r="L609" s="8"/>
      <c r="P609" s="8"/>
    </row>
    <row r="610" ht="14.25" customHeight="1">
      <c r="D610" s="8"/>
      <c r="H610" s="8"/>
      <c r="L610" s="8"/>
      <c r="P610" s="8"/>
    </row>
    <row r="611" ht="14.25" customHeight="1">
      <c r="D611" s="8"/>
      <c r="H611" s="8"/>
      <c r="L611" s="8"/>
      <c r="P611" s="8"/>
    </row>
    <row r="612" ht="14.25" customHeight="1">
      <c r="D612" s="8"/>
      <c r="H612" s="8"/>
      <c r="L612" s="8"/>
      <c r="P612" s="8"/>
    </row>
    <row r="613" ht="14.25" customHeight="1">
      <c r="D613" s="8"/>
      <c r="H613" s="8"/>
      <c r="L613" s="8"/>
      <c r="P613" s="8"/>
    </row>
    <row r="614" ht="14.25" customHeight="1">
      <c r="D614" s="8"/>
      <c r="H614" s="8"/>
      <c r="L614" s="8"/>
      <c r="P614" s="8"/>
    </row>
    <row r="615" ht="14.25" customHeight="1">
      <c r="D615" s="8"/>
      <c r="H615" s="8"/>
      <c r="L615" s="8"/>
      <c r="P615" s="8"/>
    </row>
    <row r="616" ht="14.25" customHeight="1">
      <c r="D616" s="8"/>
      <c r="H616" s="8"/>
      <c r="L616" s="8"/>
      <c r="P616" s="8"/>
    </row>
    <row r="617" ht="14.25" customHeight="1">
      <c r="D617" s="8"/>
      <c r="H617" s="8"/>
      <c r="L617" s="8"/>
      <c r="P617" s="8"/>
    </row>
    <row r="618" ht="14.25" customHeight="1">
      <c r="D618" s="8"/>
      <c r="H618" s="8"/>
      <c r="L618" s="8"/>
      <c r="P618" s="8"/>
    </row>
    <row r="619" ht="14.25" customHeight="1">
      <c r="D619" s="8"/>
      <c r="H619" s="8"/>
      <c r="L619" s="8"/>
      <c r="P619" s="8"/>
    </row>
    <row r="620" ht="14.25" customHeight="1">
      <c r="D620" s="8"/>
      <c r="H620" s="8"/>
      <c r="L620" s="8"/>
      <c r="P620" s="8"/>
    </row>
    <row r="621" ht="14.25" customHeight="1">
      <c r="D621" s="8"/>
      <c r="H621" s="8"/>
      <c r="L621" s="8"/>
      <c r="P621" s="8"/>
    </row>
    <row r="622" ht="14.25" customHeight="1">
      <c r="D622" s="8"/>
      <c r="H622" s="8"/>
      <c r="L622" s="8"/>
      <c r="P622" s="8"/>
    </row>
    <row r="623" ht="14.25" customHeight="1">
      <c r="D623" s="8"/>
      <c r="H623" s="8"/>
      <c r="L623" s="8"/>
      <c r="P623" s="8"/>
    </row>
    <row r="624" ht="14.25" customHeight="1">
      <c r="D624" s="8"/>
      <c r="H624" s="8"/>
      <c r="L624" s="8"/>
      <c r="P624" s="8"/>
    </row>
    <row r="625" ht="14.25" customHeight="1">
      <c r="D625" s="8"/>
      <c r="H625" s="8"/>
      <c r="L625" s="8"/>
      <c r="P625" s="8"/>
    </row>
    <row r="626" ht="14.25" customHeight="1">
      <c r="D626" s="8"/>
      <c r="H626" s="8"/>
      <c r="L626" s="8"/>
      <c r="P626" s="8"/>
    </row>
    <row r="627" ht="14.25" customHeight="1">
      <c r="D627" s="8"/>
      <c r="H627" s="8"/>
      <c r="L627" s="8"/>
      <c r="P627" s="8"/>
    </row>
    <row r="628" ht="14.25" customHeight="1">
      <c r="D628" s="8"/>
      <c r="H628" s="8"/>
      <c r="L628" s="8"/>
      <c r="P628" s="8"/>
    </row>
    <row r="629" ht="14.25" customHeight="1">
      <c r="D629" s="8"/>
      <c r="H629" s="8"/>
      <c r="L629" s="8"/>
      <c r="P629" s="8"/>
    </row>
    <row r="630" ht="14.25" customHeight="1">
      <c r="D630" s="8"/>
      <c r="H630" s="8"/>
      <c r="L630" s="8"/>
      <c r="P630" s="8"/>
    </row>
    <row r="631" ht="14.25" customHeight="1">
      <c r="D631" s="8"/>
      <c r="H631" s="8"/>
      <c r="L631" s="8"/>
      <c r="P631" s="8"/>
    </row>
    <row r="632" ht="14.25" customHeight="1">
      <c r="D632" s="8"/>
      <c r="H632" s="8"/>
      <c r="L632" s="8"/>
      <c r="P632" s="8"/>
    </row>
    <row r="633" ht="14.25" customHeight="1">
      <c r="D633" s="8"/>
      <c r="H633" s="8"/>
      <c r="L633" s="8"/>
      <c r="P633" s="8"/>
    </row>
    <row r="634" ht="14.25" customHeight="1">
      <c r="D634" s="8"/>
      <c r="H634" s="8"/>
      <c r="L634" s="8"/>
      <c r="P634" s="8"/>
    </row>
    <row r="635" ht="14.25" customHeight="1">
      <c r="D635" s="8"/>
      <c r="H635" s="8"/>
      <c r="L635" s="8"/>
      <c r="P635" s="8"/>
    </row>
    <row r="636" ht="14.25" customHeight="1">
      <c r="D636" s="8"/>
      <c r="H636" s="8"/>
      <c r="L636" s="8"/>
      <c r="P636" s="8"/>
    </row>
    <row r="637" ht="14.25" customHeight="1">
      <c r="D637" s="8"/>
      <c r="H637" s="8"/>
      <c r="L637" s="8"/>
      <c r="P637" s="8"/>
    </row>
    <row r="638" ht="14.25" customHeight="1">
      <c r="D638" s="8"/>
      <c r="H638" s="8"/>
      <c r="L638" s="8"/>
      <c r="P638" s="8"/>
    </row>
    <row r="639" ht="14.25" customHeight="1">
      <c r="D639" s="8"/>
      <c r="H639" s="8"/>
      <c r="L639" s="8"/>
      <c r="P639" s="8"/>
    </row>
    <row r="640" ht="14.25" customHeight="1">
      <c r="D640" s="8"/>
      <c r="H640" s="8"/>
      <c r="L640" s="8"/>
      <c r="P640" s="8"/>
    </row>
    <row r="641" ht="14.25" customHeight="1">
      <c r="D641" s="8"/>
      <c r="H641" s="8"/>
      <c r="L641" s="8"/>
      <c r="P641" s="8"/>
    </row>
    <row r="642" ht="14.25" customHeight="1">
      <c r="D642" s="8"/>
      <c r="H642" s="8"/>
      <c r="L642" s="8"/>
      <c r="P642" s="8"/>
    </row>
    <row r="643" ht="14.25" customHeight="1">
      <c r="D643" s="8"/>
      <c r="H643" s="8"/>
      <c r="L643" s="8"/>
      <c r="P643" s="8"/>
    </row>
    <row r="644" ht="14.25" customHeight="1">
      <c r="D644" s="8"/>
      <c r="H644" s="8"/>
      <c r="L644" s="8"/>
      <c r="P644" s="8"/>
    </row>
    <row r="645" ht="14.25" customHeight="1">
      <c r="D645" s="8"/>
      <c r="H645" s="8"/>
      <c r="L645" s="8"/>
      <c r="P645" s="8"/>
    </row>
    <row r="646" ht="14.25" customHeight="1">
      <c r="D646" s="8"/>
      <c r="H646" s="8"/>
      <c r="L646" s="8"/>
      <c r="P646" s="8"/>
    </row>
    <row r="647" ht="14.25" customHeight="1">
      <c r="D647" s="8"/>
      <c r="H647" s="8"/>
      <c r="L647" s="8"/>
      <c r="P647" s="8"/>
    </row>
    <row r="648" ht="14.25" customHeight="1">
      <c r="D648" s="8"/>
      <c r="H648" s="8"/>
      <c r="L648" s="8"/>
      <c r="P648" s="8"/>
    </row>
    <row r="649" ht="14.25" customHeight="1">
      <c r="D649" s="8"/>
      <c r="H649" s="8"/>
      <c r="L649" s="8"/>
      <c r="P649" s="8"/>
    </row>
    <row r="650" ht="14.25" customHeight="1">
      <c r="D650" s="8"/>
      <c r="H650" s="8"/>
      <c r="L650" s="8"/>
      <c r="P650" s="8"/>
    </row>
    <row r="651" ht="14.25" customHeight="1">
      <c r="D651" s="8"/>
      <c r="H651" s="8"/>
      <c r="L651" s="8"/>
      <c r="P651" s="8"/>
    </row>
    <row r="652" ht="14.25" customHeight="1">
      <c r="D652" s="8"/>
      <c r="H652" s="8"/>
      <c r="L652" s="8"/>
      <c r="P652" s="8"/>
    </row>
    <row r="653" ht="14.25" customHeight="1">
      <c r="D653" s="8"/>
      <c r="H653" s="8"/>
      <c r="L653" s="8"/>
      <c r="P653" s="8"/>
    </row>
    <row r="654" ht="14.25" customHeight="1">
      <c r="D654" s="8"/>
      <c r="H654" s="8"/>
      <c r="L654" s="8"/>
      <c r="P654" s="8"/>
    </row>
    <row r="655" ht="14.25" customHeight="1">
      <c r="D655" s="8"/>
      <c r="H655" s="8"/>
      <c r="L655" s="8"/>
      <c r="P655" s="8"/>
    </row>
    <row r="656" ht="14.25" customHeight="1">
      <c r="D656" s="8"/>
      <c r="H656" s="8"/>
      <c r="L656" s="8"/>
      <c r="P656" s="8"/>
    </row>
    <row r="657" ht="14.25" customHeight="1">
      <c r="D657" s="8"/>
      <c r="H657" s="8"/>
      <c r="L657" s="8"/>
      <c r="P657" s="8"/>
    </row>
    <row r="658" ht="14.25" customHeight="1">
      <c r="D658" s="8"/>
      <c r="H658" s="8"/>
      <c r="L658" s="8"/>
      <c r="P658" s="8"/>
    </row>
    <row r="659" ht="14.25" customHeight="1">
      <c r="D659" s="8"/>
      <c r="H659" s="8"/>
      <c r="L659" s="8"/>
      <c r="P659" s="8"/>
    </row>
    <row r="660" ht="14.25" customHeight="1">
      <c r="D660" s="8"/>
      <c r="H660" s="8"/>
      <c r="L660" s="8"/>
      <c r="P660" s="8"/>
    </row>
    <row r="661" ht="14.25" customHeight="1">
      <c r="D661" s="8"/>
      <c r="H661" s="8"/>
      <c r="L661" s="8"/>
      <c r="P661" s="8"/>
    </row>
    <row r="662" ht="14.25" customHeight="1">
      <c r="D662" s="8"/>
      <c r="H662" s="8"/>
      <c r="L662" s="8"/>
      <c r="P662" s="8"/>
    </row>
    <row r="663" ht="14.25" customHeight="1">
      <c r="D663" s="8"/>
      <c r="H663" s="8"/>
      <c r="L663" s="8"/>
      <c r="P663" s="8"/>
    </row>
    <row r="664" ht="14.25" customHeight="1">
      <c r="D664" s="8"/>
      <c r="H664" s="8"/>
      <c r="L664" s="8"/>
      <c r="P664" s="8"/>
    </row>
    <row r="665" ht="14.25" customHeight="1">
      <c r="D665" s="8"/>
      <c r="H665" s="8"/>
      <c r="L665" s="8"/>
      <c r="P665" s="8"/>
    </row>
    <row r="666" ht="14.25" customHeight="1">
      <c r="D666" s="8"/>
      <c r="H666" s="8"/>
      <c r="L666" s="8"/>
      <c r="P666" s="8"/>
    </row>
    <row r="667" ht="14.25" customHeight="1">
      <c r="D667" s="8"/>
      <c r="H667" s="8"/>
      <c r="L667" s="8"/>
      <c r="P667" s="8"/>
    </row>
    <row r="668" ht="14.25" customHeight="1">
      <c r="D668" s="8"/>
      <c r="H668" s="8"/>
      <c r="L668" s="8"/>
      <c r="P668" s="8"/>
    </row>
    <row r="669" ht="14.25" customHeight="1">
      <c r="D669" s="8"/>
      <c r="H669" s="8"/>
      <c r="L669" s="8"/>
      <c r="P669" s="8"/>
    </row>
    <row r="670" ht="14.25" customHeight="1">
      <c r="D670" s="8"/>
      <c r="H670" s="8"/>
      <c r="L670" s="8"/>
      <c r="P670" s="8"/>
    </row>
    <row r="671" ht="14.25" customHeight="1">
      <c r="D671" s="8"/>
      <c r="H671" s="8"/>
      <c r="L671" s="8"/>
      <c r="P671" s="8"/>
    </row>
    <row r="672" ht="14.25" customHeight="1">
      <c r="D672" s="8"/>
      <c r="H672" s="8"/>
      <c r="L672" s="8"/>
      <c r="P672" s="8"/>
    </row>
    <row r="673" ht="14.25" customHeight="1">
      <c r="D673" s="8"/>
      <c r="H673" s="8"/>
      <c r="L673" s="8"/>
      <c r="P673" s="8"/>
    </row>
    <row r="674" ht="14.25" customHeight="1">
      <c r="D674" s="8"/>
      <c r="H674" s="8"/>
      <c r="L674" s="8"/>
      <c r="P674" s="8"/>
    </row>
    <row r="675" ht="14.25" customHeight="1">
      <c r="D675" s="8"/>
      <c r="H675" s="8"/>
      <c r="L675" s="8"/>
      <c r="P675" s="8"/>
    </row>
    <row r="676" ht="14.25" customHeight="1">
      <c r="D676" s="8"/>
      <c r="H676" s="8"/>
      <c r="L676" s="8"/>
      <c r="P676" s="8"/>
    </row>
    <row r="677" ht="14.25" customHeight="1">
      <c r="D677" s="8"/>
      <c r="H677" s="8"/>
      <c r="L677" s="8"/>
      <c r="P677" s="8"/>
    </row>
    <row r="678" ht="14.25" customHeight="1">
      <c r="D678" s="8"/>
      <c r="H678" s="8"/>
      <c r="L678" s="8"/>
      <c r="P678" s="8"/>
    </row>
    <row r="679" ht="14.25" customHeight="1">
      <c r="D679" s="8"/>
      <c r="H679" s="8"/>
      <c r="L679" s="8"/>
      <c r="P679" s="8"/>
    </row>
    <row r="680" ht="14.25" customHeight="1">
      <c r="D680" s="8"/>
      <c r="H680" s="8"/>
      <c r="L680" s="8"/>
      <c r="P680" s="8"/>
    </row>
    <row r="681" ht="14.25" customHeight="1">
      <c r="D681" s="8"/>
      <c r="H681" s="8"/>
      <c r="L681" s="8"/>
      <c r="P681" s="8"/>
    </row>
    <row r="682" ht="14.25" customHeight="1">
      <c r="D682" s="8"/>
      <c r="H682" s="8"/>
      <c r="L682" s="8"/>
      <c r="P682" s="8"/>
    </row>
    <row r="683" ht="14.25" customHeight="1">
      <c r="D683" s="8"/>
      <c r="H683" s="8"/>
      <c r="L683" s="8"/>
      <c r="P683" s="8"/>
    </row>
    <row r="684" ht="14.25" customHeight="1">
      <c r="D684" s="8"/>
      <c r="H684" s="8"/>
      <c r="L684" s="8"/>
      <c r="P684" s="8"/>
    </row>
    <row r="685" ht="14.25" customHeight="1">
      <c r="D685" s="8"/>
      <c r="H685" s="8"/>
      <c r="L685" s="8"/>
      <c r="P685" s="8"/>
    </row>
    <row r="686" ht="14.25" customHeight="1">
      <c r="D686" s="8"/>
      <c r="H686" s="8"/>
      <c r="L686" s="8"/>
      <c r="P686" s="8"/>
    </row>
    <row r="687" ht="14.25" customHeight="1">
      <c r="D687" s="8"/>
      <c r="H687" s="8"/>
      <c r="L687" s="8"/>
      <c r="P687" s="8"/>
    </row>
    <row r="688" ht="14.25" customHeight="1">
      <c r="D688" s="8"/>
      <c r="H688" s="8"/>
      <c r="L688" s="8"/>
      <c r="P688" s="8"/>
    </row>
    <row r="689" ht="14.25" customHeight="1">
      <c r="D689" s="8"/>
      <c r="H689" s="8"/>
      <c r="L689" s="8"/>
      <c r="P689" s="8"/>
    </row>
    <row r="690" ht="14.25" customHeight="1">
      <c r="D690" s="8"/>
      <c r="H690" s="8"/>
      <c r="L690" s="8"/>
      <c r="P690" s="8"/>
    </row>
    <row r="691" ht="14.25" customHeight="1">
      <c r="D691" s="8"/>
      <c r="H691" s="8"/>
      <c r="L691" s="8"/>
      <c r="P691" s="8"/>
    </row>
    <row r="692" ht="14.25" customHeight="1">
      <c r="D692" s="8"/>
      <c r="H692" s="8"/>
      <c r="L692" s="8"/>
      <c r="P692" s="8"/>
    </row>
    <row r="693" ht="14.25" customHeight="1">
      <c r="D693" s="8"/>
      <c r="H693" s="8"/>
      <c r="L693" s="8"/>
      <c r="P693" s="8"/>
    </row>
    <row r="694" ht="14.25" customHeight="1">
      <c r="D694" s="8"/>
      <c r="H694" s="8"/>
      <c r="L694" s="8"/>
      <c r="P694" s="8"/>
    </row>
    <row r="695" ht="14.25" customHeight="1">
      <c r="D695" s="8"/>
      <c r="H695" s="8"/>
      <c r="L695" s="8"/>
      <c r="P695" s="8"/>
    </row>
    <row r="696" ht="14.25" customHeight="1">
      <c r="D696" s="8"/>
      <c r="H696" s="8"/>
      <c r="L696" s="8"/>
      <c r="P696" s="8"/>
    </row>
    <row r="697" ht="14.25" customHeight="1">
      <c r="D697" s="8"/>
      <c r="H697" s="8"/>
      <c r="L697" s="8"/>
      <c r="P697" s="8"/>
    </row>
    <row r="698" ht="14.25" customHeight="1">
      <c r="D698" s="8"/>
      <c r="H698" s="8"/>
      <c r="L698" s="8"/>
      <c r="P698" s="8"/>
    </row>
    <row r="699" ht="14.25" customHeight="1">
      <c r="D699" s="8"/>
      <c r="H699" s="8"/>
      <c r="L699" s="8"/>
      <c r="P699" s="8"/>
    </row>
    <row r="700" ht="14.25" customHeight="1">
      <c r="D700" s="8"/>
      <c r="H700" s="8"/>
      <c r="L700" s="8"/>
      <c r="P700" s="8"/>
    </row>
    <row r="701" ht="14.25" customHeight="1">
      <c r="D701" s="8"/>
      <c r="H701" s="8"/>
      <c r="L701" s="8"/>
      <c r="P701" s="8"/>
    </row>
    <row r="702" ht="14.25" customHeight="1">
      <c r="D702" s="8"/>
      <c r="H702" s="8"/>
      <c r="L702" s="8"/>
      <c r="P702" s="8"/>
    </row>
    <row r="703" ht="14.25" customHeight="1">
      <c r="D703" s="8"/>
      <c r="H703" s="8"/>
      <c r="L703" s="8"/>
      <c r="P703" s="8"/>
    </row>
    <row r="704" ht="14.25" customHeight="1">
      <c r="D704" s="8"/>
      <c r="H704" s="8"/>
      <c r="L704" s="8"/>
      <c r="P704" s="8"/>
    </row>
    <row r="705" ht="14.25" customHeight="1">
      <c r="D705" s="8"/>
      <c r="H705" s="8"/>
      <c r="L705" s="8"/>
      <c r="P705" s="8"/>
    </row>
    <row r="706" ht="14.25" customHeight="1">
      <c r="D706" s="8"/>
      <c r="H706" s="8"/>
      <c r="L706" s="8"/>
      <c r="P706" s="8"/>
    </row>
    <row r="707" ht="14.25" customHeight="1">
      <c r="D707" s="8"/>
      <c r="H707" s="8"/>
      <c r="L707" s="8"/>
      <c r="P707" s="8"/>
    </row>
    <row r="708" ht="14.25" customHeight="1">
      <c r="D708" s="8"/>
      <c r="H708" s="8"/>
      <c r="L708" s="8"/>
      <c r="P708" s="8"/>
    </row>
    <row r="709" ht="14.25" customHeight="1">
      <c r="D709" s="8"/>
      <c r="H709" s="8"/>
      <c r="L709" s="8"/>
      <c r="P709" s="8"/>
    </row>
    <row r="710" ht="14.25" customHeight="1">
      <c r="D710" s="8"/>
      <c r="H710" s="8"/>
      <c r="L710" s="8"/>
      <c r="P710" s="8"/>
    </row>
    <row r="711" ht="14.25" customHeight="1">
      <c r="D711" s="8"/>
      <c r="H711" s="8"/>
      <c r="L711" s="8"/>
      <c r="P711" s="8"/>
    </row>
    <row r="712" ht="14.25" customHeight="1">
      <c r="D712" s="8"/>
      <c r="H712" s="8"/>
      <c r="L712" s="8"/>
      <c r="P712" s="8"/>
    </row>
    <row r="713" ht="14.25" customHeight="1">
      <c r="D713" s="8"/>
      <c r="H713" s="8"/>
      <c r="L713" s="8"/>
      <c r="P713" s="8"/>
    </row>
    <row r="714" ht="14.25" customHeight="1">
      <c r="D714" s="8"/>
      <c r="H714" s="8"/>
      <c r="L714" s="8"/>
      <c r="P714" s="8"/>
    </row>
    <row r="715" ht="14.25" customHeight="1">
      <c r="D715" s="8"/>
      <c r="H715" s="8"/>
      <c r="L715" s="8"/>
      <c r="P715" s="8"/>
    </row>
    <row r="716" ht="14.25" customHeight="1">
      <c r="D716" s="8"/>
      <c r="H716" s="8"/>
      <c r="L716" s="8"/>
      <c r="P716" s="8"/>
    </row>
    <row r="717" ht="14.25" customHeight="1">
      <c r="D717" s="8"/>
      <c r="H717" s="8"/>
      <c r="L717" s="8"/>
      <c r="P717" s="8"/>
    </row>
    <row r="718" ht="14.25" customHeight="1">
      <c r="D718" s="8"/>
      <c r="H718" s="8"/>
      <c r="L718" s="8"/>
      <c r="P718" s="8"/>
    </row>
    <row r="719" ht="14.25" customHeight="1">
      <c r="D719" s="8"/>
      <c r="H719" s="8"/>
      <c r="L719" s="8"/>
      <c r="P719" s="8"/>
    </row>
    <row r="720" ht="14.25" customHeight="1">
      <c r="D720" s="8"/>
      <c r="H720" s="8"/>
      <c r="L720" s="8"/>
      <c r="P720" s="8"/>
    </row>
    <row r="721" ht="14.25" customHeight="1">
      <c r="D721" s="8"/>
      <c r="H721" s="8"/>
      <c r="L721" s="8"/>
      <c r="P721" s="8"/>
    </row>
    <row r="722" ht="14.25" customHeight="1">
      <c r="D722" s="8"/>
      <c r="H722" s="8"/>
      <c r="L722" s="8"/>
      <c r="P722" s="8"/>
    </row>
    <row r="723" ht="14.25" customHeight="1">
      <c r="D723" s="8"/>
      <c r="H723" s="8"/>
      <c r="L723" s="8"/>
      <c r="P723" s="8"/>
    </row>
    <row r="724" ht="14.25" customHeight="1">
      <c r="D724" s="8"/>
      <c r="H724" s="8"/>
      <c r="L724" s="8"/>
      <c r="P724" s="8"/>
    </row>
    <row r="725" ht="14.25" customHeight="1">
      <c r="D725" s="8"/>
      <c r="H725" s="8"/>
      <c r="L725" s="8"/>
      <c r="P725" s="8"/>
    </row>
    <row r="726" ht="14.25" customHeight="1">
      <c r="D726" s="8"/>
      <c r="H726" s="8"/>
      <c r="L726" s="8"/>
      <c r="P726" s="8"/>
    </row>
    <row r="727" ht="14.25" customHeight="1">
      <c r="D727" s="8"/>
      <c r="H727" s="8"/>
      <c r="L727" s="8"/>
      <c r="P727" s="8"/>
    </row>
    <row r="728" ht="14.25" customHeight="1">
      <c r="D728" s="8"/>
      <c r="H728" s="8"/>
      <c r="L728" s="8"/>
      <c r="P728" s="8"/>
    </row>
    <row r="729" ht="14.25" customHeight="1">
      <c r="D729" s="8"/>
      <c r="H729" s="8"/>
      <c r="L729" s="8"/>
      <c r="P729" s="8"/>
    </row>
    <row r="730" ht="14.25" customHeight="1">
      <c r="D730" s="8"/>
      <c r="H730" s="8"/>
      <c r="L730" s="8"/>
      <c r="P730" s="8"/>
    </row>
    <row r="731" ht="14.25" customHeight="1">
      <c r="D731" s="8"/>
      <c r="H731" s="8"/>
      <c r="L731" s="8"/>
      <c r="P731" s="8"/>
    </row>
    <row r="732" ht="14.25" customHeight="1">
      <c r="D732" s="8"/>
      <c r="H732" s="8"/>
      <c r="L732" s="8"/>
      <c r="P732" s="8"/>
    </row>
    <row r="733" ht="14.25" customHeight="1">
      <c r="D733" s="8"/>
      <c r="H733" s="8"/>
      <c r="L733" s="8"/>
      <c r="P733" s="8"/>
    </row>
    <row r="734" ht="14.25" customHeight="1">
      <c r="D734" s="8"/>
      <c r="H734" s="8"/>
      <c r="L734" s="8"/>
      <c r="P734" s="8"/>
    </row>
    <row r="735" ht="14.25" customHeight="1">
      <c r="D735" s="8"/>
      <c r="H735" s="8"/>
      <c r="L735" s="8"/>
      <c r="P735" s="8"/>
    </row>
    <row r="736" ht="14.25" customHeight="1">
      <c r="D736" s="8"/>
      <c r="H736" s="8"/>
      <c r="L736" s="8"/>
      <c r="P736" s="8"/>
    </row>
    <row r="737" ht="14.25" customHeight="1">
      <c r="D737" s="8"/>
      <c r="H737" s="8"/>
      <c r="L737" s="8"/>
      <c r="P737" s="8"/>
    </row>
    <row r="738" ht="14.25" customHeight="1">
      <c r="D738" s="8"/>
      <c r="H738" s="8"/>
      <c r="L738" s="8"/>
      <c r="P738" s="8"/>
    </row>
    <row r="739" ht="14.25" customHeight="1">
      <c r="D739" s="8"/>
      <c r="H739" s="8"/>
      <c r="L739" s="8"/>
      <c r="P739" s="8"/>
    </row>
    <row r="740" ht="14.25" customHeight="1">
      <c r="D740" s="8"/>
      <c r="H740" s="8"/>
      <c r="L740" s="8"/>
      <c r="P740" s="8"/>
    </row>
    <row r="741" ht="14.25" customHeight="1">
      <c r="D741" s="8"/>
      <c r="H741" s="8"/>
      <c r="L741" s="8"/>
      <c r="P741" s="8"/>
    </row>
    <row r="742" ht="14.25" customHeight="1">
      <c r="D742" s="8"/>
      <c r="H742" s="8"/>
      <c r="L742" s="8"/>
      <c r="P742" s="8"/>
    </row>
    <row r="743" ht="14.25" customHeight="1">
      <c r="D743" s="8"/>
      <c r="H743" s="8"/>
      <c r="L743" s="8"/>
      <c r="P743" s="8"/>
    </row>
    <row r="744" ht="14.25" customHeight="1">
      <c r="D744" s="8"/>
      <c r="H744" s="8"/>
      <c r="L744" s="8"/>
      <c r="P744" s="8"/>
    </row>
    <row r="745" ht="14.25" customHeight="1">
      <c r="D745" s="8"/>
      <c r="H745" s="8"/>
      <c r="L745" s="8"/>
      <c r="P745" s="8"/>
    </row>
    <row r="746" ht="14.25" customHeight="1">
      <c r="D746" s="8"/>
      <c r="H746" s="8"/>
      <c r="L746" s="8"/>
      <c r="P746" s="8"/>
    </row>
    <row r="747" ht="14.25" customHeight="1">
      <c r="D747" s="8"/>
      <c r="H747" s="8"/>
      <c r="L747" s="8"/>
      <c r="P747" s="8"/>
    </row>
    <row r="748" ht="14.25" customHeight="1">
      <c r="D748" s="8"/>
      <c r="H748" s="8"/>
      <c r="L748" s="8"/>
      <c r="P748" s="8"/>
    </row>
    <row r="749" ht="14.25" customHeight="1">
      <c r="D749" s="8"/>
      <c r="H749" s="8"/>
      <c r="L749" s="8"/>
      <c r="P749" s="8"/>
    </row>
    <row r="750" ht="14.25" customHeight="1">
      <c r="D750" s="8"/>
      <c r="H750" s="8"/>
      <c r="L750" s="8"/>
      <c r="P750" s="8"/>
    </row>
    <row r="751" ht="14.25" customHeight="1">
      <c r="D751" s="8"/>
      <c r="H751" s="8"/>
      <c r="L751" s="8"/>
      <c r="P751" s="8"/>
    </row>
    <row r="752" ht="14.25" customHeight="1">
      <c r="D752" s="8"/>
      <c r="H752" s="8"/>
      <c r="L752" s="8"/>
      <c r="P752" s="8"/>
    </row>
    <row r="753" ht="14.25" customHeight="1">
      <c r="D753" s="8"/>
      <c r="H753" s="8"/>
      <c r="L753" s="8"/>
      <c r="P753" s="8"/>
    </row>
    <row r="754" ht="14.25" customHeight="1">
      <c r="D754" s="8"/>
      <c r="H754" s="8"/>
      <c r="L754" s="8"/>
      <c r="P754" s="8"/>
    </row>
    <row r="755" ht="14.25" customHeight="1">
      <c r="D755" s="8"/>
      <c r="H755" s="8"/>
      <c r="L755" s="8"/>
      <c r="P755" s="8"/>
    </row>
    <row r="756" ht="14.25" customHeight="1">
      <c r="D756" s="8"/>
      <c r="H756" s="8"/>
      <c r="L756" s="8"/>
      <c r="P756" s="8"/>
    </row>
    <row r="757" ht="14.25" customHeight="1">
      <c r="D757" s="8"/>
      <c r="H757" s="8"/>
      <c r="L757" s="8"/>
      <c r="P757" s="8"/>
    </row>
    <row r="758" ht="14.25" customHeight="1">
      <c r="D758" s="8"/>
      <c r="H758" s="8"/>
      <c r="L758" s="8"/>
      <c r="P758" s="8"/>
    </row>
    <row r="759" ht="14.25" customHeight="1">
      <c r="D759" s="8"/>
      <c r="H759" s="8"/>
      <c r="L759" s="8"/>
      <c r="P759" s="8"/>
    </row>
    <row r="760" ht="14.25" customHeight="1">
      <c r="D760" s="8"/>
      <c r="H760" s="8"/>
      <c r="L760" s="8"/>
      <c r="P760" s="8"/>
    </row>
    <row r="761" ht="14.25" customHeight="1">
      <c r="D761" s="8"/>
      <c r="H761" s="8"/>
      <c r="L761" s="8"/>
      <c r="P761" s="8"/>
    </row>
    <row r="762" ht="14.25" customHeight="1">
      <c r="D762" s="8"/>
      <c r="H762" s="8"/>
      <c r="L762" s="8"/>
      <c r="P762" s="8"/>
    </row>
    <row r="763" ht="14.25" customHeight="1">
      <c r="D763" s="8"/>
      <c r="H763" s="8"/>
      <c r="L763" s="8"/>
      <c r="P763" s="8"/>
    </row>
    <row r="764" ht="14.25" customHeight="1">
      <c r="D764" s="8"/>
      <c r="H764" s="8"/>
      <c r="L764" s="8"/>
      <c r="P764" s="8"/>
    </row>
    <row r="765" ht="14.25" customHeight="1">
      <c r="D765" s="8"/>
      <c r="H765" s="8"/>
      <c r="L765" s="8"/>
      <c r="P765" s="8"/>
    </row>
    <row r="766" ht="14.25" customHeight="1">
      <c r="D766" s="8"/>
      <c r="H766" s="8"/>
      <c r="L766" s="8"/>
      <c r="P766" s="8"/>
    </row>
    <row r="767" ht="14.25" customHeight="1">
      <c r="D767" s="8"/>
      <c r="H767" s="8"/>
      <c r="L767" s="8"/>
      <c r="P767" s="8"/>
    </row>
    <row r="768" ht="14.25" customHeight="1">
      <c r="D768" s="8"/>
      <c r="H768" s="8"/>
      <c r="L768" s="8"/>
      <c r="P768" s="8"/>
    </row>
    <row r="769" ht="14.25" customHeight="1">
      <c r="D769" s="8"/>
      <c r="H769" s="8"/>
      <c r="L769" s="8"/>
      <c r="P769" s="8"/>
    </row>
    <row r="770" ht="14.25" customHeight="1">
      <c r="D770" s="8"/>
      <c r="H770" s="8"/>
      <c r="L770" s="8"/>
      <c r="P770" s="8"/>
    </row>
    <row r="771" ht="14.25" customHeight="1">
      <c r="D771" s="8"/>
      <c r="H771" s="8"/>
      <c r="L771" s="8"/>
      <c r="P771" s="8"/>
    </row>
    <row r="772" ht="14.25" customHeight="1">
      <c r="D772" s="8"/>
      <c r="H772" s="8"/>
      <c r="L772" s="8"/>
      <c r="P772" s="8"/>
    </row>
    <row r="773" ht="14.25" customHeight="1">
      <c r="D773" s="8"/>
      <c r="H773" s="8"/>
      <c r="L773" s="8"/>
      <c r="P773" s="8"/>
    </row>
    <row r="774" ht="14.25" customHeight="1">
      <c r="D774" s="8"/>
      <c r="H774" s="8"/>
      <c r="L774" s="8"/>
      <c r="P774" s="8"/>
    </row>
    <row r="775" ht="14.25" customHeight="1">
      <c r="D775" s="8"/>
      <c r="H775" s="8"/>
      <c r="L775" s="8"/>
      <c r="P775" s="8"/>
    </row>
    <row r="776" ht="14.25" customHeight="1">
      <c r="D776" s="8"/>
      <c r="H776" s="8"/>
      <c r="L776" s="8"/>
      <c r="P776" s="8"/>
    </row>
    <row r="777" ht="14.25" customHeight="1">
      <c r="D777" s="8"/>
      <c r="H777" s="8"/>
      <c r="L777" s="8"/>
      <c r="P777" s="8"/>
    </row>
    <row r="778" ht="14.25" customHeight="1">
      <c r="D778" s="8"/>
      <c r="H778" s="8"/>
      <c r="L778" s="8"/>
      <c r="P778" s="8"/>
    </row>
    <row r="779" ht="14.25" customHeight="1">
      <c r="D779" s="8"/>
      <c r="H779" s="8"/>
      <c r="L779" s="8"/>
      <c r="P779" s="8"/>
    </row>
    <row r="780" ht="14.25" customHeight="1">
      <c r="D780" s="8"/>
      <c r="H780" s="8"/>
      <c r="L780" s="8"/>
      <c r="P780" s="8"/>
    </row>
    <row r="781" ht="14.25" customHeight="1">
      <c r="D781" s="8"/>
      <c r="H781" s="8"/>
      <c r="L781" s="8"/>
      <c r="P781" s="8"/>
    </row>
    <row r="782" ht="14.25" customHeight="1">
      <c r="D782" s="8"/>
      <c r="H782" s="8"/>
      <c r="L782" s="8"/>
      <c r="P782" s="8"/>
    </row>
    <row r="783" ht="14.25" customHeight="1">
      <c r="D783" s="8"/>
      <c r="H783" s="8"/>
      <c r="L783" s="8"/>
      <c r="P783" s="8"/>
    </row>
    <row r="784" ht="14.25" customHeight="1">
      <c r="D784" s="8"/>
      <c r="H784" s="8"/>
      <c r="L784" s="8"/>
      <c r="P784" s="8"/>
    </row>
    <row r="785" ht="14.25" customHeight="1">
      <c r="D785" s="8"/>
      <c r="H785" s="8"/>
      <c r="L785" s="8"/>
      <c r="P785" s="8"/>
    </row>
    <row r="786" ht="14.25" customHeight="1">
      <c r="D786" s="8"/>
      <c r="H786" s="8"/>
      <c r="L786" s="8"/>
      <c r="P786" s="8"/>
    </row>
    <row r="787" ht="14.25" customHeight="1">
      <c r="D787" s="8"/>
      <c r="H787" s="8"/>
      <c r="L787" s="8"/>
      <c r="P787" s="8"/>
    </row>
    <row r="788" ht="14.25" customHeight="1">
      <c r="D788" s="8"/>
      <c r="H788" s="8"/>
      <c r="L788" s="8"/>
      <c r="P788" s="8"/>
    </row>
    <row r="789" ht="14.25" customHeight="1">
      <c r="D789" s="8"/>
      <c r="H789" s="8"/>
      <c r="L789" s="8"/>
      <c r="P789" s="8"/>
    </row>
    <row r="790" ht="14.25" customHeight="1">
      <c r="D790" s="8"/>
      <c r="H790" s="8"/>
      <c r="L790" s="8"/>
      <c r="P790" s="8"/>
    </row>
    <row r="791" ht="14.25" customHeight="1">
      <c r="D791" s="8"/>
      <c r="H791" s="8"/>
      <c r="L791" s="8"/>
      <c r="P791" s="8"/>
    </row>
    <row r="792" ht="14.25" customHeight="1">
      <c r="D792" s="8"/>
      <c r="H792" s="8"/>
      <c r="L792" s="8"/>
      <c r="P792" s="8"/>
    </row>
    <row r="793" ht="14.25" customHeight="1">
      <c r="D793" s="8"/>
      <c r="H793" s="8"/>
      <c r="L793" s="8"/>
      <c r="P793" s="8"/>
    </row>
    <row r="794" ht="14.25" customHeight="1">
      <c r="D794" s="8"/>
      <c r="H794" s="8"/>
      <c r="L794" s="8"/>
      <c r="P794" s="8"/>
    </row>
    <row r="795" ht="14.25" customHeight="1">
      <c r="D795" s="8"/>
      <c r="H795" s="8"/>
      <c r="L795" s="8"/>
      <c r="P795" s="8"/>
    </row>
    <row r="796" ht="14.25" customHeight="1">
      <c r="D796" s="8"/>
      <c r="H796" s="8"/>
      <c r="L796" s="8"/>
      <c r="P796" s="8"/>
    </row>
    <row r="797" ht="14.25" customHeight="1">
      <c r="D797" s="8"/>
      <c r="H797" s="8"/>
      <c r="L797" s="8"/>
      <c r="P797" s="8"/>
    </row>
    <row r="798" ht="14.25" customHeight="1">
      <c r="D798" s="8"/>
      <c r="H798" s="8"/>
      <c r="L798" s="8"/>
      <c r="P798" s="8"/>
    </row>
    <row r="799" ht="14.25" customHeight="1">
      <c r="D799" s="8"/>
      <c r="H799" s="8"/>
      <c r="L799" s="8"/>
      <c r="P799" s="8"/>
    </row>
    <row r="800" ht="14.25" customHeight="1">
      <c r="D800" s="8"/>
      <c r="H800" s="8"/>
      <c r="L800" s="8"/>
      <c r="P800" s="8"/>
    </row>
    <row r="801" ht="14.25" customHeight="1">
      <c r="D801" s="8"/>
      <c r="H801" s="8"/>
      <c r="L801" s="8"/>
      <c r="P801" s="8"/>
    </row>
    <row r="802" ht="14.25" customHeight="1">
      <c r="D802" s="8"/>
      <c r="H802" s="8"/>
      <c r="L802" s="8"/>
      <c r="P802" s="8"/>
    </row>
    <row r="803" ht="14.25" customHeight="1">
      <c r="D803" s="8"/>
      <c r="H803" s="8"/>
      <c r="L803" s="8"/>
      <c r="P803" s="8"/>
    </row>
    <row r="804" ht="14.25" customHeight="1">
      <c r="D804" s="8"/>
      <c r="H804" s="8"/>
      <c r="L804" s="8"/>
      <c r="P804" s="8"/>
    </row>
    <row r="805" ht="14.25" customHeight="1">
      <c r="D805" s="8"/>
      <c r="H805" s="8"/>
      <c r="L805" s="8"/>
      <c r="P805" s="8"/>
    </row>
    <row r="806" ht="14.25" customHeight="1">
      <c r="D806" s="8"/>
      <c r="H806" s="8"/>
      <c r="L806" s="8"/>
      <c r="P806" s="8"/>
    </row>
    <row r="807" ht="14.25" customHeight="1">
      <c r="D807" s="8"/>
      <c r="H807" s="8"/>
      <c r="L807" s="8"/>
      <c r="P807" s="8"/>
    </row>
    <row r="808" ht="14.25" customHeight="1">
      <c r="D808" s="8"/>
      <c r="H808" s="8"/>
      <c r="L808" s="8"/>
      <c r="P808" s="8"/>
    </row>
    <row r="809" ht="14.25" customHeight="1">
      <c r="D809" s="8"/>
      <c r="H809" s="8"/>
      <c r="L809" s="8"/>
      <c r="P809" s="8"/>
    </row>
    <row r="810" ht="14.25" customHeight="1">
      <c r="D810" s="8"/>
      <c r="H810" s="8"/>
      <c r="L810" s="8"/>
      <c r="P810" s="8"/>
    </row>
    <row r="811" ht="14.25" customHeight="1">
      <c r="D811" s="8"/>
      <c r="H811" s="8"/>
      <c r="L811" s="8"/>
      <c r="P811" s="8"/>
    </row>
    <row r="812" ht="14.25" customHeight="1">
      <c r="D812" s="8"/>
      <c r="H812" s="8"/>
      <c r="L812" s="8"/>
      <c r="P812" s="8"/>
    </row>
    <row r="813" ht="14.25" customHeight="1">
      <c r="D813" s="8"/>
      <c r="H813" s="8"/>
      <c r="L813" s="8"/>
      <c r="P813" s="8"/>
    </row>
    <row r="814" ht="14.25" customHeight="1">
      <c r="D814" s="8"/>
      <c r="H814" s="8"/>
      <c r="L814" s="8"/>
      <c r="P814" s="8"/>
    </row>
    <row r="815" ht="14.25" customHeight="1">
      <c r="D815" s="8"/>
      <c r="H815" s="8"/>
      <c r="L815" s="8"/>
      <c r="P815" s="8"/>
    </row>
    <row r="816" ht="14.25" customHeight="1">
      <c r="D816" s="8"/>
      <c r="H816" s="8"/>
      <c r="L816" s="8"/>
      <c r="P816" s="8"/>
    </row>
    <row r="817" ht="14.25" customHeight="1">
      <c r="D817" s="8"/>
      <c r="H817" s="8"/>
      <c r="L817" s="8"/>
      <c r="P817" s="8"/>
    </row>
    <row r="818" ht="14.25" customHeight="1">
      <c r="D818" s="8"/>
      <c r="H818" s="8"/>
      <c r="L818" s="8"/>
      <c r="P818" s="8"/>
    </row>
    <row r="819" ht="14.25" customHeight="1">
      <c r="D819" s="8"/>
      <c r="H819" s="8"/>
      <c r="L819" s="8"/>
      <c r="P819" s="8"/>
    </row>
    <row r="820" ht="14.25" customHeight="1">
      <c r="D820" s="8"/>
      <c r="H820" s="8"/>
      <c r="L820" s="8"/>
      <c r="P820" s="8"/>
    </row>
    <row r="821" ht="14.25" customHeight="1">
      <c r="D821" s="8"/>
      <c r="H821" s="8"/>
      <c r="L821" s="8"/>
      <c r="P821" s="8"/>
    </row>
    <row r="822" ht="14.25" customHeight="1">
      <c r="D822" s="8"/>
      <c r="H822" s="8"/>
      <c r="L822" s="8"/>
      <c r="P822" s="8"/>
    </row>
    <row r="823" ht="14.25" customHeight="1">
      <c r="D823" s="8"/>
      <c r="H823" s="8"/>
      <c r="L823" s="8"/>
      <c r="P823" s="8"/>
    </row>
    <row r="824" ht="14.25" customHeight="1">
      <c r="D824" s="8"/>
      <c r="H824" s="8"/>
      <c r="L824" s="8"/>
      <c r="P824" s="8"/>
    </row>
    <row r="825" ht="14.25" customHeight="1">
      <c r="D825" s="8"/>
      <c r="H825" s="8"/>
      <c r="L825" s="8"/>
      <c r="P825" s="8"/>
    </row>
    <row r="826" ht="14.25" customHeight="1">
      <c r="D826" s="8"/>
      <c r="H826" s="8"/>
      <c r="L826" s="8"/>
      <c r="P826" s="8"/>
    </row>
    <row r="827" ht="14.25" customHeight="1">
      <c r="D827" s="8"/>
      <c r="H827" s="8"/>
      <c r="L827" s="8"/>
      <c r="P827" s="8"/>
    </row>
    <row r="828" ht="14.25" customHeight="1">
      <c r="D828" s="8"/>
      <c r="H828" s="8"/>
      <c r="L828" s="8"/>
      <c r="P828" s="8"/>
    </row>
    <row r="829" ht="14.25" customHeight="1">
      <c r="D829" s="8"/>
      <c r="H829" s="8"/>
      <c r="L829" s="8"/>
      <c r="P829" s="8"/>
    </row>
    <row r="830" ht="14.25" customHeight="1">
      <c r="D830" s="8"/>
      <c r="H830" s="8"/>
      <c r="L830" s="8"/>
      <c r="P830" s="8"/>
    </row>
    <row r="831" ht="14.25" customHeight="1">
      <c r="D831" s="8"/>
      <c r="H831" s="8"/>
      <c r="L831" s="8"/>
      <c r="P831" s="8"/>
    </row>
    <row r="832" ht="14.25" customHeight="1">
      <c r="D832" s="8"/>
      <c r="H832" s="8"/>
      <c r="L832" s="8"/>
      <c r="P832" s="8"/>
    </row>
    <row r="833" ht="14.25" customHeight="1">
      <c r="D833" s="8"/>
      <c r="H833" s="8"/>
      <c r="L833" s="8"/>
      <c r="P833" s="8"/>
    </row>
    <row r="834" ht="14.25" customHeight="1">
      <c r="D834" s="8"/>
      <c r="H834" s="8"/>
      <c r="L834" s="8"/>
      <c r="P834" s="8"/>
    </row>
    <row r="835" ht="14.25" customHeight="1">
      <c r="D835" s="8"/>
      <c r="H835" s="8"/>
      <c r="L835" s="8"/>
      <c r="P835" s="8"/>
    </row>
    <row r="836" ht="14.25" customHeight="1">
      <c r="D836" s="8"/>
      <c r="H836" s="8"/>
      <c r="L836" s="8"/>
      <c r="P836" s="8"/>
    </row>
    <row r="837" ht="14.25" customHeight="1">
      <c r="D837" s="8"/>
      <c r="H837" s="8"/>
      <c r="L837" s="8"/>
      <c r="P837" s="8"/>
    </row>
    <row r="838" ht="14.25" customHeight="1">
      <c r="D838" s="8"/>
      <c r="H838" s="8"/>
      <c r="L838" s="8"/>
      <c r="P838" s="8"/>
    </row>
    <row r="839" ht="14.25" customHeight="1">
      <c r="D839" s="8"/>
      <c r="H839" s="8"/>
      <c r="L839" s="8"/>
      <c r="P839" s="8"/>
    </row>
    <row r="840" ht="14.25" customHeight="1">
      <c r="D840" s="8"/>
      <c r="H840" s="8"/>
      <c r="L840" s="8"/>
      <c r="P840" s="8"/>
    </row>
    <row r="841" ht="14.25" customHeight="1">
      <c r="D841" s="8"/>
      <c r="H841" s="8"/>
      <c r="L841" s="8"/>
      <c r="P841" s="8"/>
    </row>
    <row r="842" ht="14.25" customHeight="1">
      <c r="D842" s="8"/>
      <c r="H842" s="8"/>
      <c r="L842" s="8"/>
      <c r="P842" s="8"/>
    </row>
    <row r="843" ht="14.25" customHeight="1">
      <c r="D843" s="8"/>
      <c r="H843" s="8"/>
      <c r="L843" s="8"/>
      <c r="P843" s="8"/>
    </row>
    <row r="844" ht="14.25" customHeight="1">
      <c r="D844" s="8"/>
      <c r="H844" s="8"/>
      <c r="L844" s="8"/>
      <c r="P844" s="8"/>
    </row>
    <row r="845" ht="14.25" customHeight="1">
      <c r="D845" s="8"/>
      <c r="H845" s="8"/>
      <c r="L845" s="8"/>
      <c r="P845" s="8"/>
    </row>
    <row r="846" ht="14.25" customHeight="1">
      <c r="D846" s="8"/>
      <c r="H846" s="8"/>
      <c r="L846" s="8"/>
      <c r="P846" s="8"/>
    </row>
    <row r="847" ht="14.25" customHeight="1">
      <c r="D847" s="8"/>
      <c r="H847" s="8"/>
      <c r="L847" s="8"/>
      <c r="P847" s="8"/>
    </row>
    <row r="848" ht="14.25" customHeight="1">
      <c r="D848" s="8"/>
      <c r="H848" s="8"/>
      <c r="L848" s="8"/>
      <c r="P848" s="8"/>
    </row>
    <row r="849" ht="14.25" customHeight="1">
      <c r="D849" s="8"/>
      <c r="H849" s="8"/>
      <c r="L849" s="8"/>
      <c r="P849" s="8"/>
    </row>
    <row r="850" ht="14.25" customHeight="1">
      <c r="D850" s="8"/>
      <c r="H850" s="8"/>
      <c r="L850" s="8"/>
      <c r="P850" s="8"/>
    </row>
    <row r="851" ht="14.25" customHeight="1">
      <c r="D851" s="8"/>
      <c r="H851" s="8"/>
      <c r="L851" s="8"/>
      <c r="P851" s="8"/>
    </row>
    <row r="852" ht="14.25" customHeight="1">
      <c r="D852" s="8"/>
      <c r="H852" s="8"/>
      <c r="L852" s="8"/>
      <c r="P852" s="8"/>
    </row>
    <row r="853" ht="14.25" customHeight="1">
      <c r="D853" s="8"/>
      <c r="H853" s="8"/>
      <c r="L853" s="8"/>
      <c r="P853" s="8"/>
    </row>
    <row r="854" ht="14.25" customHeight="1">
      <c r="D854" s="8"/>
      <c r="H854" s="8"/>
      <c r="L854" s="8"/>
      <c r="P854" s="8"/>
    </row>
    <row r="855" ht="14.25" customHeight="1">
      <c r="D855" s="8"/>
      <c r="H855" s="8"/>
      <c r="L855" s="8"/>
      <c r="P855" s="8"/>
    </row>
    <row r="856" ht="14.25" customHeight="1">
      <c r="D856" s="8"/>
      <c r="H856" s="8"/>
      <c r="L856" s="8"/>
      <c r="P856" s="8"/>
    </row>
    <row r="857" ht="14.25" customHeight="1">
      <c r="D857" s="8"/>
      <c r="H857" s="8"/>
      <c r="L857" s="8"/>
      <c r="P857" s="8"/>
    </row>
    <row r="858" ht="14.25" customHeight="1">
      <c r="D858" s="8"/>
      <c r="H858" s="8"/>
      <c r="L858" s="8"/>
      <c r="P858" s="8"/>
    </row>
    <row r="859" ht="14.25" customHeight="1">
      <c r="D859" s="8"/>
      <c r="H859" s="8"/>
      <c r="L859" s="8"/>
      <c r="P859" s="8"/>
    </row>
    <row r="860" ht="14.25" customHeight="1">
      <c r="D860" s="8"/>
      <c r="H860" s="8"/>
      <c r="L860" s="8"/>
      <c r="P860" s="8"/>
    </row>
    <row r="861" ht="14.25" customHeight="1">
      <c r="D861" s="8"/>
      <c r="H861" s="8"/>
      <c r="L861" s="8"/>
      <c r="P861" s="8"/>
    </row>
    <row r="862" ht="14.25" customHeight="1">
      <c r="D862" s="8"/>
      <c r="H862" s="8"/>
      <c r="L862" s="8"/>
      <c r="P862" s="8"/>
    </row>
    <row r="863" ht="14.25" customHeight="1">
      <c r="D863" s="8"/>
      <c r="H863" s="8"/>
      <c r="L863" s="8"/>
      <c r="P863" s="8"/>
    </row>
    <row r="864" ht="14.25" customHeight="1">
      <c r="D864" s="8"/>
      <c r="H864" s="8"/>
      <c r="L864" s="8"/>
      <c r="P864" s="8"/>
    </row>
    <row r="865" ht="14.25" customHeight="1">
      <c r="D865" s="8"/>
      <c r="H865" s="8"/>
      <c r="L865" s="8"/>
      <c r="P865" s="8"/>
    </row>
    <row r="866" ht="14.25" customHeight="1">
      <c r="D866" s="8"/>
      <c r="H866" s="8"/>
      <c r="L866" s="8"/>
      <c r="P866" s="8"/>
    </row>
    <row r="867" ht="14.25" customHeight="1">
      <c r="D867" s="8"/>
      <c r="H867" s="8"/>
      <c r="L867" s="8"/>
      <c r="P867" s="8"/>
    </row>
    <row r="868" ht="14.25" customHeight="1">
      <c r="D868" s="8"/>
      <c r="H868" s="8"/>
      <c r="L868" s="8"/>
      <c r="P868" s="8"/>
    </row>
    <row r="869" ht="14.25" customHeight="1">
      <c r="D869" s="8"/>
      <c r="H869" s="8"/>
      <c r="L869" s="8"/>
      <c r="P869" s="8"/>
    </row>
    <row r="870" ht="14.25" customHeight="1">
      <c r="D870" s="8"/>
      <c r="H870" s="8"/>
      <c r="L870" s="8"/>
      <c r="P870" s="8"/>
    </row>
    <row r="871" ht="14.25" customHeight="1">
      <c r="D871" s="8"/>
      <c r="H871" s="8"/>
      <c r="L871" s="8"/>
      <c r="P871" s="8"/>
    </row>
    <row r="872" ht="14.25" customHeight="1">
      <c r="D872" s="8"/>
      <c r="H872" s="8"/>
      <c r="L872" s="8"/>
      <c r="P872" s="8"/>
    </row>
    <row r="873" ht="14.25" customHeight="1">
      <c r="D873" s="8"/>
      <c r="H873" s="8"/>
      <c r="L873" s="8"/>
      <c r="P873" s="8"/>
    </row>
    <row r="874" ht="14.25" customHeight="1">
      <c r="D874" s="8"/>
      <c r="H874" s="8"/>
      <c r="L874" s="8"/>
      <c r="P874" s="8"/>
    </row>
    <row r="875" ht="14.25" customHeight="1">
      <c r="D875" s="8"/>
      <c r="H875" s="8"/>
      <c r="L875" s="8"/>
      <c r="P875" s="8"/>
    </row>
    <row r="876" ht="14.25" customHeight="1">
      <c r="D876" s="8"/>
      <c r="H876" s="8"/>
      <c r="L876" s="8"/>
      <c r="P876" s="8"/>
    </row>
    <row r="877" ht="14.25" customHeight="1">
      <c r="D877" s="8"/>
      <c r="H877" s="8"/>
      <c r="L877" s="8"/>
      <c r="P877" s="8"/>
    </row>
    <row r="878" ht="14.25" customHeight="1">
      <c r="D878" s="8"/>
      <c r="H878" s="8"/>
      <c r="L878" s="8"/>
      <c r="P878" s="8"/>
    </row>
    <row r="879" ht="14.25" customHeight="1">
      <c r="D879" s="8"/>
      <c r="H879" s="8"/>
      <c r="L879" s="8"/>
      <c r="P879" s="8"/>
    </row>
    <row r="880" ht="14.25" customHeight="1">
      <c r="D880" s="8"/>
      <c r="H880" s="8"/>
      <c r="L880" s="8"/>
      <c r="P880" s="8"/>
    </row>
    <row r="881" ht="14.25" customHeight="1">
      <c r="D881" s="8"/>
      <c r="H881" s="8"/>
      <c r="L881" s="8"/>
      <c r="P881" s="8"/>
    </row>
    <row r="882" ht="14.25" customHeight="1">
      <c r="D882" s="8"/>
      <c r="H882" s="8"/>
      <c r="L882" s="8"/>
      <c r="P882" s="8"/>
    </row>
    <row r="883" ht="14.25" customHeight="1">
      <c r="D883" s="8"/>
      <c r="H883" s="8"/>
      <c r="L883" s="8"/>
      <c r="P883" s="8"/>
    </row>
    <row r="884" ht="14.25" customHeight="1">
      <c r="D884" s="8"/>
      <c r="H884" s="8"/>
      <c r="L884" s="8"/>
      <c r="P884" s="8"/>
    </row>
    <row r="885" ht="14.25" customHeight="1">
      <c r="D885" s="8"/>
      <c r="H885" s="8"/>
      <c r="L885" s="8"/>
      <c r="P885" s="8"/>
    </row>
    <row r="886" ht="14.25" customHeight="1">
      <c r="D886" s="8"/>
      <c r="H886" s="8"/>
      <c r="L886" s="8"/>
      <c r="P886" s="8"/>
    </row>
    <row r="887" ht="14.25" customHeight="1">
      <c r="D887" s="8"/>
      <c r="H887" s="8"/>
      <c r="L887" s="8"/>
      <c r="P887" s="8"/>
    </row>
    <row r="888" ht="14.25" customHeight="1">
      <c r="D888" s="8"/>
      <c r="H888" s="8"/>
      <c r="L888" s="8"/>
      <c r="P888" s="8"/>
    </row>
    <row r="889" ht="14.25" customHeight="1">
      <c r="D889" s="8"/>
      <c r="H889" s="8"/>
      <c r="L889" s="8"/>
      <c r="P889" s="8"/>
    </row>
    <row r="890" ht="14.25" customHeight="1">
      <c r="D890" s="8"/>
      <c r="H890" s="8"/>
      <c r="L890" s="8"/>
      <c r="P890" s="8"/>
    </row>
    <row r="891" ht="14.25" customHeight="1">
      <c r="D891" s="8"/>
      <c r="H891" s="8"/>
      <c r="L891" s="8"/>
      <c r="P891" s="8"/>
    </row>
    <row r="892" ht="14.25" customHeight="1">
      <c r="D892" s="8"/>
      <c r="H892" s="8"/>
      <c r="L892" s="8"/>
      <c r="P892" s="8"/>
    </row>
    <row r="893" ht="14.25" customHeight="1">
      <c r="D893" s="8"/>
      <c r="H893" s="8"/>
      <c r="L893" s="8"/>
      <c r="P893" s="8"/>
    </row>
    <row r="894" ht="14.25" customHeight="1">
      <c r="D894" s="8"/>
      <c r="H894" s="8"/>
      <c r="L894" s="8"/>
      <c r="P894" s="8"/>
    </row>
    <row r="895" ht="14.25" customHeight="1">
      <c r="D895" s="8"/>
      <c r="H895" s="8"/>
      <c r="L895" s="8"/>
      <c r="P895" s="8"/>
    </row>
    <row r="896" ht="14.25" customHeight="1">
      <c r="D896" s="8"/>
      <c r="H896" s="8"/>
      <c r="L896" s="8"/>
      <c r="P896" s="8"/>
    </row>
    <row r="897" ht="14.25" customHeight="1">
      <c r="D897" s="8"/>
      <c r="H897" s="8"/>
      <c r="L897" s="8"/>
      <c r="P897" s="8"/>
    </row>
    <row r="898" ht="14.25" customHeight="1">
      <c r="D898" s="8"/>
      <c r="H898" s="8"/>
      <c r="L898" s="8"/>
      <c r="P898" s="8"/>
    </row>
    <row r="899" ht="14.25" customHeight="1">
      <c r="D899" s="8"/>
      <c r="H899" s="8"/>
      <c r="L899" s="8"/>
      <c r="P899" s="8"/>
    </row>
    <row r="900" ht="14.25" customHeight="1">
      <c r="D900" s="8"/>
      <c r="H900" s="8"/>
      <c r="L900" s="8"/>
      <c r="P900" s="8"/>
    </row>
    <row r="901" ht="14.25" customHeight="1">
      <c r="D901" s="8"/>
      <c r="H901" s="8"/>
      <c r="L901" s="8"/>
      <c r="P901" s="8"/>
    </row>
    <row r="902" ht="14.25" customHeight="1">
      <c r="D902" s="8"/>
      <c r="H902" s="8"/>
      <c r="L902" s="8"/>
      <c r="P902" s="8"/>
    </row>
    <row r="903" ht="14.25" customHeight="1">
      <c r="D903" s="8"/>
      <c r="H903" s="8"/>
      <c r="L903" s="8"/>
      <c r="P903" s="8"/>
    </row>
    <row r="904" ht="14.25" customHeight="1">
      <c r="D904" s="8"/>
      <c r="H904" s="8"/>
      <c r="L904" s="8"/>
      <c r="P904" s="8"/>
    </row>
    <row r="905" ht="14.25" customHeight="1">
      <c r="D905" s="8"/>
      <c r="H905" s="8"/>
      <c r="L905" s="8"/>
      <c r="P905" s="8"/>
    </row>
    <row r="906" ht="14.25" customHeight="1">
      <c r="D906" s="8"/>
      <c r="H906" s="8"/>
      <c r="L906" s="8"/>
      <c r="P906" s="8"/>
    </row>
    <row r="907" ht="14.25" customHeight="1">
      <c r="D907" s="8"/>
      <c r="H907" s="8"/>
      <c r="L907" s="8"/>
      <c r="P907" s="8"/>
    </row>
    <row r="908" ht="14.25" customHeight="1">
      <c r="D908" s="8"/>
      <c r="H908" s="8"/>
      <c r="L908" s="8"/>
      <c r="P908" s="8"/>
    </row>
    <row r="909" ht="14.25" customHeight="1">
      <c r="D909" s="8"/>
      <c r="H909" s="8"/>
      <c r="L909" s="8"/>
      <c r="P909" s="8"/>
    </row>
    <row r="910" ht="14.25" customHeight="1">
      <c r="D910" s="8"/>
      <c r="H910" s="8"/>
      <c r="L910" s="8"/>
      <c r="P910" s="8"/>
    </row>
    <row r="911" ht="14.25" customHeight="1">
      <c r="D911" s="8"/>
      <c r="H911" s="8"/>
      <c r="L911" s="8"/>
      <c r="P911" s="8"/>
    </row>
    <row r="912" ht="14.25" customHeight="1">
      <c r="D912" s="8"/>
      <c r="H912" s="8"/>
      <c r="L912" s="8"/>
      <c r="P912" s="8"/>
    </row>
    <row r="913" ht="14.25" customHeight="1">
      <c r="D913" s="8"/>
      <c r="H913" s="8"/>
      <c r="L913" s="8"/>
      <c r="P913" s="8"/>
    </row>
    <row r="914" ht="14.25" customHeight="1">
      <c r="D914" s="8"/>
      <c r="H914" s="8"/>
      <c r="L914" s="8"/>
      <c r="P914" s="8"/>
    </row>
    <row r="915" ht="14.25" customHeight="1">
      <c r="D915" s="8"/>
      <c r="H915" s="8"/>
      <c r="L915" s="8"/>
      <c r="P915" s="8"/>
    </row>
    <row r="916" ht="14.25" customHeight="1">
      <c r="D916" s="8"/>
      <c r="H916" s="8"/>
      <c r="L916" s="8"/>
      <c r="P916" s="8"/>
    </row>
    <row r="917" ht="14.25" customHeight="1">
      <c r="D917" s="8"/>
      <c r="H917" s="8"/>
      <c r="L917" s="8"/>
      <c r="P917" s="8"/>
    </row>
    <row r="918" ht="14.25" customHeight="1">
      <c r="D918" s="8"/>
      <c r="H918" s="8"/>
      <c r="L918" s="8"/>
      <c r="P918" s="8"/>
    </row>
    <row r="919" ht="14.25" customHeight="1">
      <c r="D919" s="8"/>
      <c r="H919" s="8"/>
      <c r="L919" s="8"/>
      <c r="P919" s="8"/>
    </row>
    <row r="920" ht="14.25" customHeight="1">
      <c r="D920" s="8"/>
      <c r="H920" s="8"/>
      <c r="L920" s="8"/>
      <c r="P920" s="8"/>
    </row>
    <row r="921" ht="14.25" customHeight="1">
      <c r="D921" s="8"/>
      <c r="H921" s="8"/>
      <c r="L921" s="8"/>
      <c r="P921" s="8"/>
    </row>
    <row r="922" ht="14.25" customHeight="1">
      <c r="D922" s="8"/>
      <c r="H922" s="8"/>
      <c r="L922" s="8"/>
      <c r="P922" s="8"/>
    </row>
    <row r="923" ht="14.25" customHeight="1">
      <c r="D923" s="8"/>
      <c r="H923" s="8"/>
      <c r="L923" s="8"/>
      <c r="P923" s="8"/>
    </row>
    <row r="924" ht="14.25" customHeight="1">
      <c r="D924" s="8"/>
      <c r="H924" s="8"/>
      <c r="L924" s="8"/>
      <c r="P924" s="8"/>
    </row>
    <row r="925" ht="14.25" customHeight="1">
      <c r="D925" s="8"/>
      <c r="H925" s="8"/>
      <c r="L925" s="8"/>
      <c r="P925" s="8"/>
    </row>
    <row r="926" ht="14.25" customHeight="1">
      <c r="D926" s="8"/>
      <c r="H926" s="8"/>
      <c r="L926" s="8"/>
      <c r="P926" s="8"/>
    </row>
    <row r="927" ht="14.25" customHeight="1">
      <c r="D927" s="8"/>
      <c r="H927" s="8"/>
      <c r="L927" s="8"/>
      <c r="P927" s="8"/>
    </row>
    <row r="928" ht="14.25" customHeight="1">
      <c r="D928" s="8"/>
      <c r="H928" s="8"/>
      <c r="L928" s="8"/>
      <c r="P928" s="8"/>
    </row>
    <row r="929" ht="14.25" customHeight="1">
      <c r="D929" s="8"/>
      <c r="H929" s="8"/>
      <c r="L929" s="8"/>
      <c r="P929" s="8"/>
    </row>
    <row r="930" ht="14.25" customHeight="1">
      <c r="D930" s="8"/>
      <c r="H930" s="8"/>
      <c r="L930" s="8"/>
      <c r="P930" s="8"/>
    </row>
    <row r="931" ht="14.25" customHeight="1">
      <c r="D931" s="8"/>
      <c r="H931" s="8"/>
      <c r="L931" s="8"/>
      <c r="P931" s="8"/>
    </row>
    <row r="932" ht="14.25" customHeight="1">
      <c r="D932" s="8"/>
      <c r="H932" s="8"/>
      <c r="L932" s="8"/>
      <c r="P932" s="8"/>
    </row>
    <row r="933" ht="14.25" customHeight="1">
      <c r="D933" s="8"/>
      <c r="H933" s="8"/>
      <c r="L933" s="8"/>
      <c r="P933" s="8"/>
    </row>
    <row r="934" ht="14.25" customHeight="1">
      <c r="D934" s="8"/>
      <c r="H934" s="8"/>
      <c r="L934" s="8"/>
      <c r="P934" s="8"/>
    </row>
    <row r="935" ht="14.25" customHeight="1">
      <c r="D935" s="8"/>
      <c r="H935" s="8"/>
      <c r="L935" s="8"/>
      <c r="P935" s="8"/>
    </row>
    <row r="936" ht="14.25" customHeight="1">
      <c r="D936" s="8"/>
      <c r="H936" s="8"/>
      <c r="L936" s="8"/>
      <c r="P936" s="8"/>
    </row>
    <row r="937" ht="14.25" customHeight="1">
      <c r="D937" s="8"/>
      <c r="H937" s="8"/>
      <c r="L937" s="8"/>
      <c r="P937" s="8"/>
    </row>
    <row r="938" ht="14.25" customHeight="1">
      <c r="D938" s="8"/>
      <c r="H938" s="8"/>
      <c r="L938" s="8"/>
      <c r="P938" s="8"/>
    </row>
    <row r="939" ht="14.25" customHeight="1">
      <c r="D939" s="8"/>
      <c r="H939" s="8"/>
      <c r="L939" s="8"/>
      <c r="P939" s="8"/>
    </row>
    <row r="940" ht="14.25" customHeight="1">
      <c r="D940" s="8"/>
      <c r="H940" s="8"/>
      <c r="L940" s="8"/>
      <c r="P940" s="8"/>
    </row>
    <row r="941" ht="14.25" customHeight="1">
      <c r="D941" s="8"/>
      <c r="H941" s="8"/>
      <c r="L941" s="8"/>
      <c r="P941" s="8"/>
    </row>
    <row r="942" ht="14.25" customHeight="1">
      <c r="D942" s="8"/>
      <c r="H942" s="8"/>
      <c r="L942" s="8"/>
      <c r="P942" s="8"/>
    </row>
    <row r="943" ht="14.25" customHeight="1">
      <c r="D943" s="8"/>
      <c r="H943" s="8"/>
      <c r="L943" s="8"/>
      <c r="P943" s="8"/>
    </row>
    <row r="944" ht="14.25" customHeight="1">
      <c r="D944" s="8"/>
      <c r="H944" s="8"/>
      <c r="L944" s="8"/>
      <c r="P944" s="8"/>
    </row>
    <row r="945" ht="14.25" customHeight="1">
      <c r="D945" s="8"/>
      <c r="H945" s="8"/>
      <c r="L945" s="8"/>
      <c r="P945" s="8"/>
    </row>
    <row r="946" ht="14.25" customHeight="1">
      <c r="D946" s="8"/>
      <c r="H946" s="8"/>
      <c r="L946" s="8"/>
      <c r="P946" s="8"/>
    </row>
    <row r="947" ht="14.25" customHeight="1">
      <c r="D947" s="8"/>
      <c r="H947" s="8"/>
      <c r="L947" s="8"/>
      <c r="P947" s="8"/>
    </row>
    <row r="948" ht="14.25" customHeight="1">
      <c r="D948" s="8"/>
      <c r="H948" s="8"/>
      <c r="L948" s="8"/>
      <c r="P948" s="8"/>
    </row>
    <row r="949" ht="14.25" customHeight="1">
      <c r="D949" s="8"/>
      <c r="H949" s="8"/>
      <c r="L949" s="8"/>
      <c r="P949" s="8"/>
    </row>
    <row r="950" ht="14.25" customHeight="1">
      <c r="D950" s="8"/>
      <c r="H950" s="8"/>
      <c r="L950" s="8"/>
      <c r="P950" s="8"/>
    </row>
    <row r="951" ht="14.25" customHeight="1">
      <c r="D951" s="8"/>
      <c r="H951" s="8"/>
      <c r="L951" s="8"/>
      <c r="P951" s="8"/>
    </row>
    <row r="952" ht="14.25" customHeight="1">
      <c r="D952" s="8"/>
      <c r="H952" s="8"/>
      <c r="L952" s="8"/>
      <c r="P952" s="8"/>
    </row>
    <row r="953" ht="14.25" customHeight="1">
      <c r="D953" s="8"/>
      <c r="H953" s="8"/>
      <c r="L953" s="8"/>
      <c r="P953" s="8"/>
    </row>
    <row r="954" ht="14.25" customHeight="1">
      <c r="D954" s="8"/>
      <c r="H954" s="8"/>
      <c r="L954" s="8"/>
      <c r="P954" s="8"/>
    </row>
    <row r="955" ht="14.25" customHeight="1">
      <c r="D955" s="8"/>
      <c r="H955" s="8"/>
      <c r="L955" s="8"/>
      <c r="P955" s="8"/>
    </row>
    <row r="956" ht="14.25" customHeight="1">
      <c r="D956" s="8"/>
      <c r="H956" s="8"/>
      <c r="L956" s="8"/>
      <c r="P956" s="8"/>
    </row>
    <row r="957" ht="14.25" customHeight="1">
      <c r="D957" s="8"/>
      <c r="H957" s="8"/>
      <c r="L957" s="8"/>
      <c r="P957" s="8"/>
    </row>
    <row r="958" ht="14.25" customHeight="1">
      <c r="D958" s="8"/>
      <c r="H958" s="8"/>
      <c r="L958" s="8"/>
      <c r="P958" s="8"/>
    </row>
    <row r="959" ht="14.25" customHeight="1">
      <c r="D959" s="8"/>
      <c r="H959" s="8"/>
      <c r="L959" s="8"/>
      <c r="P959" s="8"/>
    </row>
    <row r="960" ht="14.25" customHeight="1">
      <c r="D960" s="8"/>
      <c r="H960" s="8"/>
      <c r="L960" s="8"/>
      <c r="P960" s="8"/>
    </row>
    <row r="961" ht="14.25" customHeight="1">
      <c r="D961" s="8"/>
      <c r="H961" s="8"/>
      <c r="L961" s="8"/>
      <c r="P961" s="8"/>
    </row>
    <row r="962" ht="14.25" customHeight="1">
      <c r="D962" s="8"/>
      <c r="H962" s="8"/>
      <c r="L962" s="8"/>
      <c r="P962" s="8"/>
    </row>
    <row r="963" ht="14.25" customHeight="1">
      <c r="D963" s="8"/>
      <c r="H963" s="8"/>
      <c r="L963" s="8"/>
      <c r="P963" s="8"/>
    </row>
    <row r="964" ht="14.25" customHeight="1">
      <c r="D964" s="8"/>
      <c r="H964" s="8"/>
      <c r="L964" s="8"/>
      <c r="P964" s="8"/>
    </row>
    <row r="965" ht="14.25" customHeight="1">
      <c r="D965" s="8"/>
      <c r="H965" s="8"/>
      <c r="L965" s="8"/>
      <c r="P965" s="8"/>
    </row>
    <row r="966" ht="14.25" customHeight="1">
      <c r="D966" s="8"/>
      <c r="H966" s="8"/>
      <c r="L966" s="8"/>
      <c r="P966" s="8"/>
    </row>
    <row r="967" ht="14.25" customHeight="1">
      <c r="D967" s="8"/>
      <c r="H967" s="8"/>
      <c r="L967" s="8"/>
      <c r="P967" s="8"/>
    </row>
    <row r="968" ht="14.25" customHeight="1">
      <c r="D968" s="8"/>
      <c r="H968" s="8"/>
      <c r="L968" s="8"/>
      <c r="P968" s="8"/>
    </row>
    <row r="969" ht="14.25" customHeight="1">
      <c r="D969" s="8"/>
      <c r="H969" s="8"/>
      <c r="L969" s="8"/>
      <c r="P969" s="8"/>
    </row>
    <row r="970" ht="14.25" customHeight="1">
      <c r="D970" s="8"/>
      <c r="H970" s="8"/>
      <c r="L970" s="8"/>
      <c r="P970" s="8"/>
    </row>
    <row r="971" ht="14.25" customHeight="1">
      <c r="D971" s="8"/>
      <c r="H971" s="8"/>
      <c r="L971" s="8"/>
      <c r="P971" s="8"/>
    </row>
    <row r="972" ht="14.25" customHeight="1">
      <c r="D972" s="8"/>
      <c r="H972" s="8"/>
      <c r="L972" s="8"/>
      <c r="P972" s="8"/>
    </row>
    <row r="973" ht="14.25" customHeight="1">
      <c r="D973" s="8"/>
      <c r="H973" s="8"/>
      <c r="L973" s="8"/>
      <c r="P973" s="8"/>
    </row>
    <row r="974" ht="14.25" customHeight="1">
      <c r="D974" s="8"/>
      <c r="H974" s="8"/>
      <c r="L974" s="8"/>
      <c r="P974" s="8"/>
    </row>
    <row r="975" ht="14.25" customHeight="1">
      <c r="D975" s="8"/>
      <c r="H975" s="8"/>
      <c r="L975" s="8"/>
      <c r="P975" s="8"/>
    </row>
    <row r="976" ht="14.25" customHeight="1">
      <c r="D976" s="8"/>
      <c r="H976" s="8"/>
      <c r="L976" s="8"/>
      <c r="P976" s="8"/>
    </row>
    <row r="977" ht="14.25" customHeight="1">
      <c r="D977" s="8"/>
      <c r="H977" s="8"/>
      <c r="L977" s="8"/>
      <c r="P977" s="8"/>
    </row>
    <row r="978" ht="14.25" customHeight="1">
      <c r="D978" s="8"/>
      <c r="H978" s="8"/>
      <c r="L978" s="8"/>
      <c r="P978" s="8"/>
    </row>
    <row r="979" ht="14.25" customHeight="1">
      <c r="D979" s="8"/>
      <c r="H979" s="8"/>
      <c r="L979" s="8"/>
      <c r="P979" s="8"/>
    </row>
    <row r="980" ht="14.25" customHeight="1">
      <c r="D980" s="8"/>
      <c r="H980" s="8"/>
      <c r="L980" s="8"/>
      <c r="P980" s="8"/>
    </row>
    <row r="981" ht="14.25" customHeight="1">
      <c r="D981" s="8"/>
      <c r="H981" s="8"/>
      <c r="L981" s="8"/>
      <c r="P981" s="8"/>
    </row>
    <row r="982" ht="14.25" customHeight="1">
      <c r="D982" s="8"/>
      <c r="H982" s="8"/>
      <c r="L982" s="8"/>
      <c r="P982" s="8"/>
    </row>
    <row r="983" ht="14.25" customHeight="1">
      <c r="D983" s="8"/>
      <c r="H983" s="8"/>
      <c r="L983" s="8"/>
      <c r="P983" s="8"/>
    </row>
    <row r="984" ht="14.25" customHeight="1">
      <c r="D984" s="8"/>
      <c r="H984" s="8"/>
      <c r="L984" s="8"/>
      <c r="P984" s="8"/>
    </row>
    <row r="985" ht="14.25" customHeight="1">
      <c r="D985" s="8"/>
      <c r="H985" s="8"/>
      <c r="L985" s="8"/>
      <c r="P985" s="8"/>
    </row>
    <row r="986" ht="14.25" customHeight="1">
      <c r="D986" s="8"/>
      <c r="H986" s="8"/>
      <c r="L986" s="8"/>
      <c r="P986" s="8"/>
    </row>
    <row r="987" ht="14.25" customHeight="1">
      <c r="D987" s="8"/>
      <c r="H987" s="8"/>
      <c r="L987" s="8"/>
      <c r="P987" s="8"/>
    </row>
    <row r="988" ht="14.25" customHeight="1">
      <c r="D988" s="8"/>
      <c r="H988" s="8"/>
      <c r="L988" s="8"/>
      <c r="P988" s="8"/>
    </row>
    <row r="989" ht="14.25" customHeight="1">
      <c r="D989" s="8"/>
      <c r="H989" s="8"/>
      <c r="L989" s="8"/>
      <c r="P989" s="8"/>
    </row>
    <row r="990" ht="14.25" customHeight="1">
      <c r="D990" s="8"/>
      <c r="H990" s="8"/>
      <c r="L990" s="8"/>
      <c r="P990" s="8"/>
    </row>
    <row r="991" ht="14.25" customHeight="1">
      <c r="D991" s="8"/>
      <c r="H991" s="8"/>
      <c r="L991" s="8"/>
      <c r="P991" s="8"/>
    </row>
    <row r="992" ht="14.25" customHeight="1">
      <c r="D992" s="8"/>
      <c r="H992" s="8"/>
      <c r="L992" s="8"/>
      <c r="P992" s="8"/>
    </row>
    <row r="993" ht="14.25" customHeight="1">
      <c r="D993" s="8"/>
      <c r="H993" s="8"/>
      <c r="L993" s="8"/>
      <c r="P993" s="8"/>
    </row>
    <row r="994" ht="14.25" customHeight="1">
      <c r="D994" s="8"/>
      <c r="H994" s="8"/>
      <c r="L994" s="8"/>
      <c r="P994" s="8"/>
    </row>
    <row r="995" ht="14.25" customHeight="1">
      <c r="D995" s="8"/>
      <c r="H995" s="8"/>
      <c r="L995" s="8"/>
      <c r="P995" s="8"/>
    </row>
    <row r="996" ht="14.25" customHeight="1">
      <c r="D996" s="8"/>
      <c r="H996" s="8"/>
      <c r="L996" s="8"/>
      <c r="P996" s="8"/>
    </row>
    <row r="997" ht="14.25" customHeight="1">
      <c r="D997" s="8"/>
      <c r="H997" s="8"/>
      <c r="L997" s="8"/>
      <c r="P997" s="8"/>
    </row>
    <row r="998" ht="14.25" customHeight="1">
      <c r="D998" s="8"/>
      <c r="H998" s="8"/>
      <c r="L998" s="8"/>
      <c r="P998" s="8"/>
    </row>
    <row r="999" ht="14.25" customHeight="1">
      <c r="D999" s="8"/>
      <c r="H999" s="8"/>
      <c r="L999" s="8"/>
      <c r="P999" s="8"/>
    </row>
    <row r="1000" ht="14.25" customHeight="1">
      <c r="D1000" s="8"/>
      <c r="H1000" s="8"/>
      <c r="L1000" s="8"/>
      <c r="P1000" s="8"/>
    </row>
  </sheetData>
  <mergeCells count="4">
    <mergeCell ref="D1:G1"/>
    <mergeCell ref="H1:K1"/>
    <mergeCell ref="L1:O1"/>
    <mergeCell ref="P1:S1"/>
  </mergeCells>
  <conditionalFormatting sqref="D1:K1000 L1:S135">
    <cfRule type="cellIs" dxfId="0" priority="1" operator="greater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2020-01-29T00:03:06Z</dcterms:created>
  <dc:creator>Crokee</dc:creator>
</cp:coreProperties>
</file>